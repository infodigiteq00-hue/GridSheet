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Q:\FG Details &amp; Reports\"/>
    </mc:Choice>
  </mc:AlternateContent>
  <xr:revisionPtr revIDLastSave="0" documentId="13_ncr:1_{0F451A00-0FC1-4578-B1D8-0FB3BFEAFA96}" xr6:coauthVersionLast="36" xr6:coauthVersionMax="47" xr10:uidLastSave="{00000000-0000-0000-0000-000000000000}"/>
  <bookViews>
    <workbookView xWindow="0" yWindow="0" windowWidth="23040" windowHeight="9060" xr2:uid="{49399F8F-E837-4A70-816D-CDED97F3AED2}"/>
  </bookViews>
  <sheets>
    <sheet name="Summary" sheetId="34" r:id="rId1"/>
    <sheet name="Sheet1" sheetId="35" r:id="rId2"/>
    <sheet name="By Product Disposal." sheetId="21" r:id="rId3"/>
    <sheet name="By Product Disposal-Expense" sheetId="19" state="hidden" r:id="rId4"/>
    <sheet name="Sales Master Sheet" sheetId="18" r:id="rId5"/>
  </sheets>
  <definedNames>
    <definedName name="_xlnm._FilterDatabase" localSheetId="2" hidden="1">'By Product Disposal.'!$A$4:$AB$20</definedName>
    <definedName name="_xlnm._FilterDatabase" localSheetId="3" hidden="1">'By Product Disposal-Expense'!$A$4:$AB$18</definedName>
    <definedName name="_xlnm._FilterDatabase" localSheetId="4" hidden="1">'Sales Master Sheet'!$A$5:$AC$52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34" l="1"/>
  <c r="M15" i="34"/>
  <c r="L15" i="34"/>
  <c r="K15" i="34"/>
  <c r="J15" i="34"/>
  <c r="I15" i="34"/>
  <c r="G15" i="34"/>
  <c r="H15" i="34"/>
  <c r="T4" i="18" l="1"/>
  <c r="R4" i="18"/>
  <c r="P4" i="18"/>
  <c r="R2" i="19" l="1"/>
  <c r="P2" i="19"/>
  <c r="R3" i="19"/>
  <c r="P3" i="19"/>
  <c r="R3" i="21"/>
  <c r="R2" i="21" s="1"/>
  <c r="P3" i="21"/>
  <c r="P2" i="21" s="1"/>
  <c r="Q17" i="19" l="1"/>
  <c r="Q32" i="18"/>
  <c r="T3" i="18" l="1"/>
  <c r="R3" i="18"/>
  <c r="P3" i="18"/>
  <c r="Q7" i="18" l="1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6" i="18"/>
  <c r="I2" i="1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Ghanshyam Sinh Chauhan</author>
  </authors>
  <commentList>
    <comment ref="K7" authorId="0" shapeId="0" xr:uid="{A87EAD50-2898-451D-84CB-9DF52E0FD3DC}">
      <text>
        <r>
          <rPr>
            <b/>
            <sz val="9"/>
            <color indexed="81"/>
            <rFont val="Tahoma"/>
            <family val="2"/>
          </rPr>
          <t>Ghanshyam Sinh Chauhan:</t>
        </r>
        <r>
          <rPr>
            <sz val="9"/>
            <color indexed="81"/>
            <rFont val="Tahoma"/>
            <family val="2"/>
          </rPr>
          <t xml:space="preserve">
 Qty Nos
</t>
        </r>
      </text>
    </comment>
    <comment ref="K8" authorId="0" shapeId="0" xr:uid="{2D7BE3DB-211A-4018-8AF5-53C36952DEC3}">
      <text>
        <r>
          <rPr>
            <b/>
            <sz val="9"/>
            <color indexed="81"/>
            <rFont val="Tahoma"/>
            <family val="2"/>
          </rPr>
          <t>Ghanshyam Sinh Chauhan:</t>
        </r>
        <r>
          <rPr>
            <sz val="9"/>
            <color indexed="81"/>
            <rFont val="Tahoma"/>
            <family val="2"/>
          </rPr>
          <t xml:space="preserve">
Qty Nos</t>
        </r>
      </text>
    </comment>
    <comment ref="K9" authorId="0" shapeId="0" xr:uid="{0DFC462B-7569-4E99-AE22-2B5F484E404D}">
      <text>
        <r>
          <rPr>
            <b/>
            <sz val="9"/>
            <color indexed="81"/>
            <rFont val="Tahoma"/>
            <family val="2"/>
          </rPr>
          <t>Ghanshyam Sinh Chauhan:</t>
        </r>
        <r>
          <rPr>
            <sz val="9"/>
            <color indexed="81"/>
            <rFont val="Tahoma"/>
            <family val="2"/>
          </rPr>
          <t xml:space="preserve">
Qty Nos</t>
        </r>
      </text>
    </comment>
  </commentList>
</comments>
</file>

<file path=xl/sharedStrings.xml><?xml version="1.0" encoding="utf-8"?>
<sst xmlns="http://schemas.openxmlformats.org/spreadsheetml/2006/main" count="1347" uniqueCount="183">
  <si>
    <t>Remarks</t>
  </si>
  <si>
    <t>WI01</t>
  </si>
  <si>
    <t>TRIKAL INDUSTRIES</t>
  </si>
  <si>
    <t>WI04</t>
  </si>
  <si>
    <t>Grand Total</t>
  </si>
  <si>
    <t>BY PRODUCT &amp; RM DISPATCH REPORT</t>
  </si>
  <si>
    <t>Rate</t>
  </si>
  <si>
    <t>Customer</t>
  </si>
  <si>
    <t>Custome Name</t>
  </si>
  <si>
    <t>ODN Number</t>
  </si>
  <si>
    <t>Billing Date</t>
  </si>
  <si>
    <t>Material</t>
  </si>
  <si>
    <t>Item Description</t>
  </si>
  <si>
    <t>Billed Quantity</t>
  </si>
  <si>
    <t>Sales Doc</t>
  </si>
  <si>
    <t>OBD No</t>
  </si>
  <si>
    <t>Sulphuric Acid-SPENT SOLVENT</t>
  </si>
  <si>
    <t>Month</t>
  </si>
  <si>
    <t>Spent acetic acid  for recovery</t>
  </si>
  <si>
    <t>SHUBHAM FERTILIZERS &amp; CHEMICALS</t>
  </si>
  <si>
    <t>SHREE RANG TRADING CO</t>
  </si>
  <si>
    <t>GJ16W3623</t>
  </si>
  <si>
    <t>Spent Methanol</t>
  </si>
  <si>
    <t>May</t>
  </si>
  <si>
    <t>GREEN GENE ENVIRO PROTECTION AND INFRAST RUCTURE LIMITED</t>
  </si>
  <si>
    <t>Bill Type</t>
  </si>
  <si>
    <t>Plant</t>
  </si>
  <si>
    <t>PO Number</t>
  </si>
  <si>
    <t>SKU Bill Qty</t>
  </si>
  <si>
    <t>Total Val Aft Disc</t>
  </si>
  <si>
    <t>Tax Amount</t>
  </si>
  <si>
    <t>Net Sales</t>
  </si>
  <si>
    <t>Transporter</t>
  </si>
  <si>
    <t>GR/LR No</t>
  </si>
  <si>
    <t>Vehicle</t>
  </si>
  <si>
    <t>ZF2</t>
  </si>
  <si>
    <t>April</t>
  </si>
  <si>
    <t>RV0126000001</t>
  </si>
  <si>
    <t>AS PER MAIL</t>
  </si>
  <si>
    <t>By Vendor Own Vehicle</t>
  </si>
  <si>
    <t>GJ16AW/8517</t>
  </si>
  <si>
    <t/>
  </si>
  <si>
    <t>RV0126000002</t>
  </si>
  <si>
    <t>DYZENIX GLOBAL</t>
  </si>
  <si>
    <t>GJ19X/9352</t>
  </si>
  <si>
    <t>RV0126000003</t>
  </si>
  <si>
    <t>GJ16AV/7151</t>
  </si>
  <si>
    <t>K salt</t>
  </si>
  <si>
    <t>RV0126000004</t>
  </si>
  <si>
    <t>GJ06XX/1434</t>
  </si>
  <si>
    <t>RV0126000005</t>
  </si>
  <si>
    <t>GJ12BT/4817</t>
  </si>
  <si>
    <t>RV0126000006</t>
  </si>
  <si>
    <t>GJ06AX/7211</t>
  </si>
  <si>
    <t>RV0126000007</t>
  </si>
  <si>
    <t>GJ16W/3623</t>
  </si>
  <si>
    <t>RV0126000008</t>
  </si>
  <si>
    <t>GJ16AU/6782</t>
  </si>
  <si>
    <t>RV0126000009</t>
  </si>
  <si>
    <t>26-27/5</t>
  </si>
  <si>
    <t>GJ16Z/4985</t>
  </si>
  <si>
    <t>RV0126000010</t>
  </si>
  <si>
    <t>GJ17XX/2615</t>
  </si>
  <si>
    <t>RV0126000012</t>
  </si>
  <si>
    <t>RV0126000011</t>
  </si>
  <si>
    <t>S1</t>
  </si>
  <si>
    <t>Cancelled</t>
  </si>
  <si>
    <t>Qty in MT</t>
  </si>
  <si>
    <t>ZFZ</t>
  </si>
  <si>
    <t>WI00</t>
  </si>
  <si>
    <t>BVC Specialities Private Limited</t>
  </si>
  <si>
    <t>ONYX FINE CHEM</t>
  </si>
  <si>
    <t>STEAM</t>
  </si>
  <si>
    <t>RV0126000013</t>
  </si>
  <si>
    <t>RV0126000014</t>
  </si>
  <si>
    <t>RV0126000015</t>
  </si>
  <si>
    <t>RV0126000016</t>
  </si>
  <si>
    <t>RV0026000001</t>
  </si>
  <si>
    <t>RV0026000002</t>
  </si>
  <si>
    <t>RV0026000003</t>
  </si>
  <si>
    <t>RV0126000017</t>
  </si>
  <si>
    <t>GJ06V8700</t>
  </si>
  <si>
    <t>GJ02VV8711</t>
  </si>
  <si>
    <t>BY PIPE LINE</t>
  </si>
  <si>
    <t>GJ05BU9500</t>
  </si>
  <si>
    <t>RV0126000018</t>
  </si>
  <si>
    <t>RV0126000019</t>
  </si>
  <si>
    <t>RV0126000020</t>
  </si>
  <si>
    <t>19.05.2026</t>
  </si>
  <si>
    <t>RJ39GA6022</t>
  </si>
  <si>
    <t>AA2610037</t>
  </si>
  <si>
    <t>HSN code</t>
  </si>
  <si>
    <t>Bill Doc</t>
  </si>
  <si>
    <t>Batch</t>
  </si>
  <si>
    <t>Mfg. Date</t>
  </si>
  <si>
    <t>Exp Date</t>
  </si>
  <si>
    <t>Eway Bill No</t>
  </si>
  <si>
    <t>04.04.2026</t>
  </si>
  <si>
    <t>SUL261031</t>
  </si>
  <si>
    <t>06.04.2026</t>
  </si>
  <si>
    <t>AA251071</t>
  </si>
  <si>
    <t>07.04.2026</t>
  </si>
  <si>
    <t>SUL261033</t>
  </si>
  <si>
    <t>09.04.2026</t>
  </si>
  <si>
    <t>KCL2501</t>
  </si>
  <si>
    <t>11.04.2026</t>
  </si>
  <si>
    <t>AA261019</t>
  </si>
  <si>
    <t>13.04.2026</t>
  </si>
  <si>
    <t>SUL261035</t>
  </si>
  <si>
    <t>19.04.2026</t>
  </si>
  <si>
    <t>MM261039</t>
  </si>
  <si>
    <t>20.04.2026</t>
  </si>
  <si>
    <t>KCL2510029</t>
  </si>
  <si>
    <t>24.04.2026</t>
  </si>
  <si>
    <t>SUN2610036</t>
  </si>
  <si>
    <t>30.04.2026</t>
  </si>
  <si>
    <t>SUL261039</t>
  </si>
  <si>
    <t>01.05.2026</t>
  </si>
  <si>
    <t>02.05.2026</t>
  </si>
  <si>
    <t>05.05.2026</t>
  </si>
  <si>
    <t>13.05.2026</t>
  </si>
  <si>
    <t>SUL261041</t>
  </si>
  <si>
    <t>17.05.2026</t>
  </si>
  <si>
    <t>`GJ16W3623</t>
  </si>
  <si>
    <t>SUL261043</t>
  </si>
  <si>
    <t>18.05.2026</t>
  </si>
  <si>
    <t>RV0126000021</t>
  </si>
  <si>
    <t>26-27/7</t>
  </si>
  <si>
    <t>AA261044</t>
  </si>
  <si>
    <t>RV0126000022</t>
  </si>
  <si>
    <t>GJ16AU5551</t>
  </si>
  <si>
    <t>“4-(4-Methylphenoxy)Benzenemethanamine H</t>
  </si>
  <si>
    <t>RV0426000001</t>
  </si>
  <si>
    <t>CYCLO PHARMA CHEM</t>
  </si>
  <si>
    <t>CPC/015/26-27</t>
  </si>
  <si>
    <t>GJ16W5255</t>
  </si>
  <si>
    <t>TOBA/B001</t>
  </si>
  <si>
    <t>TOBA/B002</t>
  </si>
  <si>
    <t>TOBA/B003</t>
  </si>
  <si>
    <t>TOBA/B004</t>
  </si>
  <si>
    <t>TOBA/B005</t>
  </si>
  <si>
    <t>Recycled Solvent – SMS</t>
  </si>
  <si>
    <t>RV0126000023</t>
  </si>
  <si>
    <t>LAXMI CHEMICAL INDUSTRIES</t>
  </si>
  <si>
    <t>GJ17UU1217</t>
  </si>
  <si>
    <t>Value in Cr</t>
  </si>
  <si>
    <t>Total</t>
  </si>
  <si>
    <t>June</t>
  </si>
  <si>
    <t>RV0026000004</t>
  </si>
  <si>
    <t>Spent Mix solvent (SMS)</t>
  </si>
  <si>
    <t>PRERANA FINECHEM</t>
  </si>
  <si>
    <t>GJ16AU5340</t>
  </si>
  <si>
    <t>NVLN264001</t>
  </si>
  <si>
    <t>RV0126000024</t>
  </si>
  <si>
    <t>26-27/10</t>
  </si>
  <si>
    <t>GJ16Z/8831</t>
  </si>
  <si>
    <t>RV0126000025</t>
  </si>
  <si>
    <t>26-27/12</t>
  </si>
  <si>
    <t>AA2610045</t>
  </si>
  <si>
    <t>WI03</t>
  </si>
  <si>
    <t>REACTOR SS-316 PBT 20KL</t>
  </si>
  <si>
    <t>RV0326000001</t>
  </si>
  <si>
    <t>APPLIED CHEMICALS PRIVATE LIMITED</t>
  </si>
  <si>
    <t>ACPL/2025-26/PO-027-01</t>
  </si>
  <si>
    <t>GJ05AT/0897</t>
  </si>
  <si>
    <t>WI02</t>
  </si>
  <si>
    <t>RV0226000001</t>
  </si>
  <si>
    <t>CENTRIFUGE SS-316 60"</t>
  </si>
  <si>
    <t>RV0326000002</t>
  </si>
  <si>
    <t>GJ16AW/9210</t>
  </si>
  <si>
    <t>VISCO DAMPER CFG 60"</t>
  </si>
  <si>
    <t>RV0126000026</t>
  </si>
  <si>
    <t>RV0126000027</t>
  </si>
  <si>
    <t>AA261043</t>
  </si>
  <si>
    <t>Column Labels</t>
  </si>
  <si>
    <t>Row Labels</t>
  </si>
  <si>
    <t>Sum of SKU Bill Qty</t>
  </si>
  <si>
    <t>Total Sum of SKU Bill Qty</t>
  </si>
  <si>
    <t>Total Sum of Total Val Aft Disc</t>
  </si>
  <si>
    <t>Sum of Total Val Aft Disc</t>
  </si>
  <si>
    <t>Tol 2</t>
  </si>
  <si>
    <t>*Only June Month Sales Eng. Iteam In Qty In EA (Nos)</t>
  </si>
  <si>
    <t>RM , BYP ,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</si>
</sst>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3" fontId="0" fillId="0" borderId="1" xfId="0" applyNumberFormat="1" applyBorder="1"/>
    <xf numFmtId="164" fontId="0" fillId="0" borderId="1" xfId="0" applyNumberFormat="1" applyBorder="1"/>
    <xf numFmtId="0" fontId="2" fillId="0" borderId="1" xfId="0" applyFont="1" applyFill="1" applyBorder="1" applyAlignment="1">
      <alignment horizontal="center" vertical="center"/>
    </xf>
    <xf numFmtId="43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43" fontId="0" fillId="0" borderId="0" xfId="1" applyFont="1"/>
    <xf numFmtId="0" fontId="0" fillId="0" borderId="0" xfId="0" applyAlignment="1">
      <alignment vertical="top"/>
    </xf>
    <xf numFmtId="0" fontId="0" fillId="0" borderId="9" xfId="0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164" fontId="0" fillId="0" borderId="10" xfId="0" applyNumberFormat="1" applyBorder="1"/>
    <xf numFmtId="0" fontId="0" fillId="0" borderId="2" xfId="0" applyBorder="1" applyAlignment="1">
      <alignment vertical="top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4" fontId="0" fillId="0" borderId="1" xfId="0" applyNumberFormat="1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0" fillId="0" borderId="1" xfId="0" applyBorder="1"/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43" fontId="0" fillId="0" borderId="1" xfId="1" applyFont="1" applyBorder="1" applyAlignment="1">
      <alignment horizontal="right" vertical="top"/>
    </xf>
    <xf numFmtId="0" fontId="4" fillId="4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0" fillId="0" borderId="0" xfId="0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10" xfId="0" applyFont="1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 vertical="top"/>
    </xf>
    <xf numFmtId="43" fontId="1" fillId="0" borderId="1" xfId="1" applyFont="1" applyFill="1" applyBorder="1" applyAlignment="1">
      <alignment horizontal="center" vertical="center"/>
    </xf>
    <xf numFmtId="43" fontId="1" fillId="0" borderId="1" xfId="1" applyFont="1" applyFill="1" applyBorder="1" applyAlignment="1">
      <alignment horizontal="right"/>
    </xf>
    <xf numFmtId="0" fontId="1" fillId="0" borderId="10" xfId="0" applyFont="1" applyFill="1" applyBorder="1" applyAlignment="1">
      <alignment horizontal="center" vertical="center"/>
    </xf>
    <xf numFmtId="43" fontId="0" fillId="0" borderId="1" xfId="1" applyFont="1" applyFill="1" applyBorder="1" applyAlignment="1">
      <alignment horizontal="right" vertical="top"/>
    </xf>
    <xf numFmtId="0" fontId="1" fillId="0" borderId="10" xfId="0" applyFont="1" applyFill="1" applyBorder="1" applyAlignment="1">
      <alignment horizontal="right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0" fillId="0" borderId="0" xfId="0" applyFill="1"/>
    <xf numFmtId="0" fontId="6" fillId="0" borderId="7" xfId="0" applyFont="1" applyFill="1" applyBorder="1" applyAlignment="1">
      <alignment horizontal="center" vertical="center"/>
    </xf>
    <xf numFmtId="0" fontId="7" fillId="0" borderId="0" xfId="0" applyFont="1" applyFill="1"/>
    <xf numFmtId="43" fontId="6" fillId="0" borderId="7" xfId="1" applyFont="1" applyFill="1" applyBorder="1" applyAlignment="1">
      <alignment horizontal="center" vertical="center"/>
    </xf>
    <xf numFmtId="43" fontId="7" fillId="0" borderId="0" xfId="1" applyFont="1" applyFill="1"/>
    <xf numFmtId="43" fontId="6" fillId="0" borderId="0" xfId="1" applyFont="1" applyFill="1" applyAlignment="1">
      <alignment horizontal="center" vertical="center"/>
    </xf>
    <xf numFmtId="0" fontId="4" fillId="3" borderId="0" xfId="0" applyFont="1" applyFill="1"/>
    <xf numFmtId="43" fontId="0" fillId="0" borderId="1" xfId="1" applyFont="1" applyBorder="1" applyAlignment="1">
      <alignment vertical="top"/>
    </xf>
    <xf numFmtId="0" fontId="0" fillId="0" borderId="0" xfId="0" pivotButton="1"/>
    <xf numFmtId="0" fontId="0" fillId="0" borderId="0" xfId="0" applyNumberFormat="1"/>
    <xf numFmtId="0" fontId="5" fillId="3" borderId="17" xfId="0" applyFont="1" applyFill="1" applyBorder="1"/>
    <xf numFmtId="0" fontId="5" fillId="3" borderId="18" xfId="0" applyFont="1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0" fillId="0" borderId="0" xfId="0" applyFont="1"/>
    <xf numFmtId="0" fontId="11" fillId="3" borderId="11" xfId="0" applyFont="1" applyFill="1" applyBorder="1" applyAlignment="1">
      <alignment horizontal="center" vertical="center"/>
    </xf>
    <xf numFmtId="0" fontId="11" fillId="3" borderId="12" xfId="0" applyFont="1" applyFill="1" applyBorder="1"/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0" fillId="0" borderId="11" xfId="0" applyFont="1" applyBorder="1"/>
    <xf numFmtId="43" fontId="10" fillId="0" borderId="12" xfId="1" applyFont="1" applyBorder="1"/>
    <xf numFmtId="0" fontId="10" fillId="0" borderId="12" xfId="0" applyFont="1" applyBorder="1"/>
    <xf numFmtId="43" fontId="10" fillId="0" borderId="13" xfId="1" applyFont="1" applyBorder="1"/>
    <xf numFmtId="0" fontId="10" fillId="0" borderId="14" xfId="0" applyFont="1" applyBorder="1"/>
    <xf numFmtId="43" fontId="10" fillId="0" borderId="1" xfId="1" applyFont="1" applyBorder="1"/>
    <xf numFmtId="0" fontId="10" fillId="0" borderId="1" xfId="0" applyFont="1" applyBorder="1"/>
    <xf numFmtId="43" fontId="10" fillId="0" borderId="15" xfId="1" applyFont="1" applyBorder="1"/>
    <xf numFmtId="0" fontId="10" fillId="0" borderId="16" xfId="0" applyFont="1" applyBorder="1"/>
    <xf numFmtId="43" fontId="10" fillId="0" borderId="17" xfId="1" applyFont="1" applyBorder="1"/>
    <xf numFmtId="43" fontId="10" fillId="0" borderId="18" xfId="1" applyFont="1" applyBorder="1"/>
    <xf numFmtId="0" fontId="12" fillId="0" borderId="0" xfId="0" applyFont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0</xdr:row>
      <xdr:rowOff>68580</xdr:rowOff>
    </xdr:from>
    <xdr:to>
      <xdr:col>2</xdr:col>
      <xdr:colOff>655320</xdr:colOff>
      <xdr:row>0</xdr:row>
      <xdr:rowOff>662940</xdr:rowOff>
    </xdr:to>
    <xdr:pic>
      <xdr:nvPicPr>
        <xdr:cNvPr id="2" name="Picture 2" descr="Description: cid:709C9296-B0B7-487E-9FE0-7DAC4558BC4E">
          <a:extLst>
            <a:ext uri="{FF2B5EF4-FFF2-40B4-BE49-F238E27FC236}">
              <a16:creationId xmlns:a16="http://schemas.microsoft.com/office/drawing/2014/main" id="{E0755B5B-F6B6-4485-8E93-A6CDEF8D5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" y="0"/>
          <a:ext cx="18326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144780</xdr:colOff>
      <xdr:row>0</xdr:row>
      <xdr:rowOff>68580</xdr:rowOff>
    </xdr:from>
    <xdr:to>
      <xdr:col>23</xdr:col>
      <xdr:colOff>1158240</xdr:colOff>
      <xdr:row>0</xdr:row>
      <xdr:rowOff>685800</xdr:rowOff>
    </xdr:to>
    <xdr:pic>
      <xdr:nvPicPr>
        <xdr:cNvPr id="3" name="Picture 2" descr="Description: cid:709C9296-B0B7-487E-9FE0-7DAC4558BC4E">
          <a:extLst>
            <a:ext uri="{FF2B5EF4-FFF2-40B4-BE49-F238E27FC236}">
              <a16:creationId xmlns:a16="http://schemas.microsoft.com/office/drawing/2014/main" id="{50F5DE59-8378-4D25-AAD4-3D087BBF1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33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hanshyam Sinh Chauhan" refreshedDate="46204.403132754633" createdVersion="6" refreshedVersion="6" minRefreshableVersion="3" recordCount="25" xr:uid="{CAED135B-9A84-4377-957F-B964103D5CB2}">
  <cacheSource type="worksheet">
    <worksheetSource ref="A4:T29" sheet="By Product Disposal."/>
  </cacheSource>
  <cacheFields count="20">
    <cacheField name="Bill Type" numFmtId="0">
      <sharedItems/>
    </cacheField>
    <cacheField name="Month" numFmtId="0">
      <sharedItems count="3">
        <s v="April"/>
        <s v="May"/>
        <s v="June"/>
      </sharedItems>
    </cacheField>
    <cacheField name="Plant" numFmtId="0">
      <sharedItems/>
    </cacheField>
    <cacheField name="Material" numFmtId="0">
      <sharedItems containsSemiMixedTypes="0" containsString="0" containsNumber="1" containsInteger="1" minValue="100000694" maxValue="310007886"/>
    </cacheField>
    <cacheField name="Item Description" numFmtId="0">
      <sharedItems count="10">
        <s v="K salt"/>
        <s v="Spent Methanol"/>
        <s v="Sulphuric Acid-SPENT SOLVENT"/>
        <s v="STEAM"/>
        <s v="“4-(4-Methylphenoxy)Benzenemethanamine H"/>
        <s v="Recycled Solvent – SMS"/>
        <s v="Spent Mix solvent (SMS)"/>
        <s v="REACTOR SS-316 PBT 20KL"/>
        <s v="CENTRIFUGE SS-316 60&quot;"/>
        <s v="VISCO DAMPER CFG 60&quot;"/>
      </sharedItems>
    </cacheField>
    <cacheField name="ODN Number" numFmtId="0">
      <sharedItems/>
    </cacheField>
    <cacheField name="Billing Date" numFmtId="14">
      <sharedItems containsSemiMixedTypes="0" containsNonDate="0" containsDate="1" containsString="0" minDate="2026-04-09T00:00:00" maxDate="2026-06-20T00:00:00"/>
    </cacheField>
    <cacheField name="Customer" numFmtId="0">
      <sharedItems containsSemiMixedTypes="0" containsString="0" containsNumber="1" containsInteger="1" minValue="40003" maxValue="40070"/>
    </cacheField>
    <cacheField name="Custome Name" numFmtId="0">
      <sharedItems/>
    </cacheField>
    <cacheField name="HSN code" numFmtId="0">
      <sharedItems containsSemiMixedTypes="0" containsString="0" containsNumber="1" containsInteger="1" minValue="28070010" maxValue="84818030"/>
    </cacheField>
    <cacheField name="PO Number" numFmtId="0">
      <sharedItems containsMixedTypes="1" containsNumber="1" containsInteger="1" minValue="5210010956" maxValue="5210012384"/>
    </cacheField>
    <cacheField name="Sales Doc" numFmtId="0">
      <sharedItems containsSemiMixedTypes="0" containsString="0" containsNumber="1" containsInteger="1" minValue="11190932" maxValue="11205946"/>
    </cacheField>
    <cacheField name="OBD No" numFmtId="0">
      <sharedItems containsSemiMixedTypes="0" containsString="0" containsNumber="1" containsInteger="1" minValue="801146129" maxValue="801161341"/>
    </cacheField>
    <cacheField name="Bill Doc" numFmtId="0">
      <sharedItems containsSemiMixedTypes="0" containsString="0" containsNumber="1" containsInteger="1" minValue="901346743" maxValue="901380104"/>
    </cacheField>
    <cacheField name="Billed Quantity" numFmtId="0">
      <sharedItems containsSemiMixedTypes="0" containsString="0" containsNumber="1" containsInteger="1" minValue="1" maxValue="3029018"/>
    </cacheField>
    <cacheField name="SKU Bill Qty" numFmtId="0">
      <sharedItems containsSemiMixedTypes="0" containsString="0" containsNumber="1" containsInteger="1" minValue="1" maxValue="3029018"/>
    </cacheField>
    <cacheField name="Rate" numFmtId="0">
      <sharedItems containsSemiMixedTypes="0" containsString="0" containsNumber="1" minValue="2" maxValue="2000000"/>
    </cacheField>
    <cacheField name="Total Val Aft Disc" numFmtId="0">
      <sharedItems containsSemiMixedTypes="0" containsString="0" containsNumber="1" minValue="19710.2" maxValue="9844308.4600000009"/>
    </cacheField>
    <cacheField name="Tax Amount" numFmtId="0">
      <sharedItems containsSemiMixedTypes="0" containsString="0" containsNumber="1" minValue="1124" maxValue="1771975.54"/>
    </cacheField>
    <cacheField name="Net Sales" numFmtId="0">
      <sharedItems containsSemiMixedTypes="0" containsString="0" containsNumber="1" containsInteger="1" minValue="23258" maxValue="116162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s v="ZF2"/>
    <x v="0"/>
    <s v="WI01"/>
    <n v="151000012"/>
    <x v="0"/>
    <s v="RV0126000004"/>
    <d v="2026-04-09T00:00:00"/>
    <n v="40058"/>
    <s v="DYZENIX GLOBAL"/>
    <n v="38140010"/>
    <s v="AS PER MAIL"/>
    <n v="11190932"/>
    <n v="801146129"/>
    <n v="901346743"/>
    <n v="16500"/>
    <n v="16500"/>
    <n v="3.5"/>
    <n v="57750"/>
    <n v="10395"/>
    <n v="68145"/>
  </r>
  <r>
    <s v="ZF2"/>
    <x v="0"/>
    <s v="WI01"/>
    <n v="151000053"/>
    <x v="1"/>
    <s v="RV0126000008"/>
    <d v="2026-04-19T00:00:00"/>
    <n v="40003"/>
    <s v="TRIKAL INDUSTRIES"/>
    <n v="29051100"/>
    <s v="AS PER MAIL"/>
    <n v="11191997"/>
    <n v="801147150"/>
    <n v="901348198"/>
    <n v="16190"/>
    <n v="16190"/>
    <n v="11.999975293390982"/>
    <n v="194279.6"/>
    <n v="34970.400000000001"/>
    <n v="229250"/>
  </r>
  <r>
    <s v="ZF2"/>
    <x v="0"/>
    <s v="WI01"/>
    <n v="151000012"/>
    <x v="0"/>
    <s v="RV0126000009"/>
    <d v="2026-04-20T00:00:00"/>
    <n v="40058"/>
    <s v="DYZENIX GLOBAL"/>
    <n v="38140010"/>
    <s v="AS PER MAIL"/>
    <n v="11192171"/>
    <n v="801147298"/>
    <n v="901348480"/>
    <n v="6570"/>
    <n v="6570"/>
    <n v="3.0000304414003045"/>
    <n v="19710.2"/>
    <n v="3547.8"/>
    <n v="23258"/>
  </r>
  <r>
    <s v="ZF2"/>
    <x v="1"/>
    <s v="WI01"/>
    <n v="151000015"/>
    <x v="2"/>
    <s v="RV0126000015"/>
    <d v="2026-05-01T00:00:00"/>
    <n v="40058"/>
    <s v="DYZENIX GLOBAL"/>
    <n v="28070010"/>
    <s v="AS PER MAIL"/>
    <n v="11193778"/>
    <n v="801149043"/>
    <n v="901353564"/>
    <n v="11240"/>
    <n v="11240"/>
    <n v="2"/>
    <n v="22480"/>
    <n v="1124"/>
    <n v="23604"/>
  </r>
  <r>
    <s v="ZFZ"/>
    <x v="1"/>
    <s v="WI00"/>
    <n v="100000946"/>
    <x v="3"/>
    <s v="RV0026000001"/>
    <d v="2026-05-05T00:00:00"/>
    <n v="40050"/>
    <s v="BVC Specialities Private Limited"/>
    <n v="28539090"/>
    <n v="5210010956"/>
    <n v="11194054"/>
    <n v="801149253"/>
    <n v="901353975"/>
    <n v="541053"/>
    <n v="541053"/>
    <n v="2.7000002587546876"/>
    <n v="1460843.24"/>
    <n v="262951.76"/>
    <n v="1723795"/>
  </r>
  <r>
    <s v="ZFZ"/>
    <x v="1"/>
    <s v="WI00"/>
    <n v="100000946"/>
    <x v="3"/>
    <s v="RV0026000002"/>
    <d v="2026-05-05T00:00:00"/>
    <n v="40050"/>
    <s v="BVC Specialities Private Limited"/>
    <n v="28539090"/>
    <n v="5210012384"/>
    <n v="11194056"/>
    <n v="801149256"/>
    <n v="901353986"/>
    <n v="2054164"/>
    <n v="2054164"/>
    <n v="3.2500000292089628"/>
    <n v="6676033.0599999996"/>
    <n v="1201685.94"/>
    <n v="7877719"/>
  </r>
  <r>
    <s v="ZFZ"/>
    <x v="1"/>
    <s v="WI00"/>
    <n v="100000946"/>
    <x v="3"/>
    <s v="RV0026000003"/>
    <d v="2026-05-05T00:00:00"/>
    <n v="40050"/>
    <s v="BVC Specialities Private Limited"/>
    <n v="28539090"/>
    <n v="5210010956"/>
    <n v="11194092"/>
    <n v="801149292"/>
    <n v="901354216"/>
    <n v="182786"/>
    <n v="182786"/>
    <n v="2.6999989058242972"/>
    <n v="493522"/>
    <n v="88834"/>
    <n v="582356"/>
  </r>
  <r>
    <s v="ZF2"/>
    <x v="1"/>
    <s v="WI01"/>
    <n v="151000015"/>
    <x v="2"/>
    <s v="RV0126000017"/>
    <d v="2026-05-13T00:00:00"/>
    <n v="40067"/>
    <s v="ONYX FINE CHEM"/>
    <n v="28070010"/>
    <s v="AS PER MAIL"/>
    <n v="11195062"/>
    <n v="801150443"/>
    <n v="901358452"/>
    <n v="28150"/>
    <n v="28150"/>
    <n v="2.5000085257548847"/>
    <n v="70375.240000000005"/>
    <n v="3518.76"/>
    <n v="73894"/>
  </r>
  <r>
    <s v="ZFZ"/>
    <x v="1"/>
    <s v="WI04"/>
    <n v="100000874"/>
    <x v="4"/>
    <s v="RV0426000001"/>
    <d v="2026-05-29T00:00:00"/>
    <n v="40069"/>
    <s v="CYCLO PHARMA CHEM"/>
    <n v="29222990"/>
    <s v="CPC/015/26-27"/>
    <n v="11199289"/>
    <n v="801154484"/>
    <n v="901369072"/>
    <n v="50"/>
    <n v="50"/>
    <n v="1710"/>
    <n v="85500"/>
    <n v="15390"/>
    <n v="100890"/>
  </r>
  <r>
    <s v="ZFZ"/>
    <x v="1"/>
    <s v="WI04"/>
    <n v="100000874"/>
    <x v="4"/>
    <s v="RV0426000001"/>
    <d v="2026-05-29T00:00:00"/>
    <n v="40069"/>
    <s v="CYCLO PHARMA CHEM"/>
    <n v="29222990"/>
    <s v="CPC/015/26-27"/>
    <n v="11199289"/>
    <n v="801154484"/>
    <n v="901369072"/>
    <n v="200"/>
    <n v="200"/>
    <n v="1710"/>
    <n v="342000"/>
    <n v="61560"/>
    <n v="403560"/>
  </r>
  <r>
    <s v="ZFZ"/>
    <x v="1"/>
    <s v="WI04"/>
    <n v="100000874"/>
    <x v="4"/>
    <s v="RV0426000001"/>
    <d v="2026-05-29T00:00:00"/>
    <n v="40069"/>
    <s v="CYCLO PHARMA CHEM"/>
    <n v="29222990"/>
    <s v="CPC/015/26-27"/>
    <n v="11199289"/>
    <n v="801154484"/>
    <n v="901369072"/>
    <n v="1000"/>
    <n v="1000"/>
    <n v="1710"/>
    <n v="1710000"/>
    <n v="307800"/>
    <n v="2017800"/>
  </r>
  <r>
    <s v="ZFZ"/>
    <x v="1"/>
    <s v="WI04"/>
    <n v="100000874"/>
    <x v="4"/>
    <s v="RV0426000001"/>
    <d v="2026-05-29T00:00:00"/>
    <n v="40069"/>
    <s v="CYCLO PHARMA CHEM"/>
    <n v="29222990"/>
    <s v="CPC/015/26-27"/>
    <n v="11199289"/>
    <n v="801154484"/>
    <n v="901369072"/>
    <n v="1000"/>
    <n v="1000"/>
    <n v="1710"/>
    <n v="1710000"/>
    <n v="307800"/>
    <n v="2017800"/>
  </r>
  <r>
    <s v="ZFZ"/>
    <x v="1"/>
    <s v="WI04"/>
    <n v="100000874"/>
    <x v="4"/>
    <s v="RV0426000001"/>
    <d v="2026-05-29T00:00:00"/>
    <n v="40069"/>
    <s v="CYCLO PHARMA CHEM"/>
    <n v="29222990"/>
    <s v="CPC/015/26-27"/>
    <n v="11199289"/>
    <n v="801154484"/>
    <n v="901369072"/>
    <n v="1000"/>
    <n v="1000"/>
    <n v="1710"/>
    <n v="1710000"/>
    <n v="307800"/>
    <n v="2017800"/>
  </r>
  <r>
    <s v="ZFZ"/>
    <x v="1"/>
    <s v="WI04"/>
    <n v="100000874"/>
    <x v="4"/>
    <s v="RV0426000001"/>
    <d v="2026-05-29T00:00:00"/>
    <n v="40069"/>
    <s v="CYCLO PHARMA CHEM"/>
    <n v="29222990"/>
    <s v="CPC/015/26-27"/>
    <n v="11199289"/>
    <n v="801154484"/>
    <n v="901369072"/>
    <n v="1000"/>
    <n v="1000"/>
    <n v="1710"/>
    <n v="1710000"/>
    <n v="307800"/>
    <n v="2017800"/>
  </r>
  <r>
    <s v="ZFZ"/>
    <x v="1"/>
    <s v="WI04"/>
    <n v="100000874"/>
    <x v="4"/>
    <s v="RV0426000001"/>
    <d v="2026-05-29T00:00:00"/>
    <n v="40069"/>
    <s v="CYCLO PHARMA CHEM"/>
    <n v="29222990"/>
    <s v="CPC/015/26-27"/>
    <n v="11199289"/>
    <n v="801154484"/>
    <n v="901369072"/>
    <n v="1000"/>
    <n v="1000"/>
    <n v="1710"/>
    <n v="1710000"/>
    <n v="307800"/>
    <n v="2017800"/>
  </r>
  <r>
    <s v="ZF2"/>
    <x v="1"/>
    <s v="WI01"/>
    <n v="100000694"/>
    <x v="5"/>
    <s v="RV0126000023"/>
    <d v="2026-05-30T00:00:00"/>
    <n v="40008"/>
    <s v="LAXMI CHEMICAL INDUSTRIES"/>
    <n v="29051100"/>
    <s v="AS PER MAIL"/>
    <n v="11199807"/>
    <n v="801154887"/>
    <n v="901369655"/>
    <n v="10440"/>
    <n v="10440"/>
    <n v="26"/>
    <n v="271439.8"/>
    <n v="48859.199999999997"/>
    <n v="320299"/>
  </r>
  <r>
    <s v="ZFZ"/>
    <x v="2"/>
    <s v="WI00"/>
    <n v="100000946"/>
    <x v="3"/>
    <s v="RV0026000004"/>
    <d v="2026-06-02T00:00:00"/>
    <n v="40050"/>
    <s v="BVC Specialities Private Limited"/>
    <n v="28539090"/>
    <n v="5210012384"/>
    <n v="11200594"/>
    <n v="801155691"/>
    <n v="901370789"/>
    <n v="3029018"/>
    <n v="3029018"/>
    <n v="3.2499999867944003"/>
    <n v="9844308.4600000009"/>
    <n v="1771975.54"/>
    <n v="11616284"/>
  </r>
  <r>
    <s v="ZF2"/>
    <x v="2"/>
    <s v="WI04"/>
    <n v="151000003"/>
    <x v="6"/>
    <s v="RV0426000001"/>
    <d v="2026-06-03T00:00:00"/>
    <n v="40066"/>
    <s v="PRERANA FINECHEM"/>
    <n v="84818030"/>
    <s v="AS PER MAIL"/>
    <n v="11200857"/>
    <n v="801156076"/>
    <n v="901371311"/>
    <n v="12410"/>
    <n v="12410"/>
    <n v="20"/>
    <n v="248200"/>
    <n v="44676"/>
    <n v="292876"/>
  </r>
  <r>
    <s v="ZF2"/>
    <x v="2"/>
    <s v="WI01"/>
    <n v="151000012"/>
    <x v="0"/>
    <s v="RV0126000024"/>
    <d v="2026-06-06T00:00:00"/>
    <n v="40058"/>
    <s v="DYZENIX GLOBAL"/>
    <n v="38140010"/>
    <s v="AS PER MAIL"/>
    <n v="11201530"/>
    <n v="801156606"/>
    <n v="901372140"/>
    <n v="11830"/>
    <n v="11830"/>
    <n v="3.5000084530853761"/>
    <n v="41405.1"/>
    <n v="7452.9"/>
    <n v="48858"/>
  </r>
  <r>
    <s v="ZF2"/>
    <x v="2"/>
    <s v="WI03"/>
    <n v="310007748"/>
    <x v="7"/>
    <s v="RV0326000001"/>
    <d v="2026-06-11T00:00:00"/>
    <n v="40070"/>
    <s v="APPLIED CHEMICALS PRIVATE LIMITED"/>
    <n v="84818030"/>
    <s v="ACPL/2025-26/PO-027-01"/>
    <n v="11202874"/>
    <n v="801157980"/>
    <n v="901374480"/>
    <n v="2"/>
    <n v="2"/>
    <n v="2000000"/>
    <n v="4000000"/>
    <n v="720000"/>
    <n v="4720000"/>
  </r>
  <r>
    <s v="ZF2"/>
    <x v="2"/>
    <s v="WI02"/>
    <n v="310007748"/>
    <x v="7"/>
    <s v="RV0226000001"/>
    <d v="2026-06-11T00:00:00"/>
    <n v="40070"/>
    <s v="APPLIED CHEMICALS PRIVATE LIMITED"/>
    <n v="84818030"/>
    <s v="ACPL/2025-26/PO-027-01"/>
    <n v="11203103"/>
    <n v="801158239"/>
    <n v="901374876"/>
    <n v="1"/>
    <n v="1"/>
    <n v="2000000"/>
    <n v="2000000"/>
    <n v="360000"/>
    <n v="2360000"/>
  </r>
  <r>
    <s v="ZF2"/>
    <x v="2"/>
    <s v="WI03"/>
    <n v="310007882"/>
    <x v="8"/>
    <s v="RV0326000002"/>
    <d v="2026-06-19T00:00:00"/>
    <n v="40070"/>
    <s v="APPLIED CHEMICALS PRIVATE LIMITED"/>
    <n v="84818030"/>
    <s v="ACPL/2025-26/PO-027-01"/>
    <n v="11205934"/>
    <n v="801161321"/>
    <n v="901380063"/>
    <n v="2"/>
    <n v="2"/>
    <n v="1666666.94"/>
    <n v="3333333.88"/>
    <n v="600000.12"/>
    <n v="3933334"/>
  </r>
  <r>
    <s v="ZF2"/>
    <x v="2"/>
    <s v="WI03"/>
    <n v="310007886"/>
    <x v="9"/>
    <s v="RV0326000002"/>
    <d v="2026-06-19T00:00:00"/>
    <n v="40070"/>
    <s v="APPLIED CHEMICALS PRIVATE LIMITED"/>
    <n v="84818030"/>
    <s v="ACPL/2025-26/PO-027-01"/>
    <n v="11205934"/>
    <n v="801161321"/>
    <n v="901380063"/>
    <n v="2"/>
    <n v="2"/>
    <n v="100000"/>
    <n v="200000"/>
    <n v="36000"/>
    <n v="236000"/>
  </r>
  <r>
    <s v="ZF2"/>
    <x v="2"/>
    <s v="WI01"/>
    <n v="310007882"/>
    <x v="8"/>
    <s v="RV0126000026"/>
    <d v="2026-06-19T00:00:00"/>
    <n v="40070"/>
    <s v="APPLIED CHEMICALS PRIVATE LIMITED"/>
    <n v="84818030"/>
    <s v="ACPL/2025-26/PO-027-01"/>
    <n v="11205946"/>
    <n v="801161341"/>
    <n v="901380104"/>
    <n v="1"/>
    <n v="1"/>
    <n v="1666666.94"/>
    <n v="1666666.94"/>
    <n v="300000.06"/>
    <n v="1966667"/>
  </r>
  <r>
    <s v="ZF2"/>
    <x v="2"/>
    <s v="WI01"/>
    <n v="310007886"/>
    <x v="9"/>
    <s v="RV0126000026"/>
    <d v="2026-06-19T00:00:00"/>
    <n v="40070"/>
    <s v="APPLIED CHEMICALS PRIVATE LIMITED"/>
    <n v="84818030"/>
    <s v="ACPL/2025-26/PO-027-01"/>
    <n v="11205946"/>
    <n v="801161341"/>
    <n v="901380104"/>
    <n v="1"/>
    <n v="1"/>
    <n v="100000"/>
    <n v="100000"/>
    <n v="18000"/>
    <n v="118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5C02F-A480-4E31-A408-E31BE4577BDA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I16" firstHeaderRow="1" firstDataRow="3" firstDataCol="1"/>
  <pivotFields count="20"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11">
        <item x="4"/>
        <item x="8"/>
        <item x="0"/>
        <item x="7"/>
        <item x="5"/>
        <item x="1"/>
        <item x="6"/>
        <item x="3"/>
        <item x="2"/>
        <item x="9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2">
    <field x="1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KU Bill Qty" fld="15" baseField="0" baseItem="0"/>
    <dataField name="Sum of Total Val Aft Disc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0B705-07D2-4DF6-A917-1DE6BAF0CA03}">
  <dimension ref="F2:N17"/>
  <sheetViews>
    <sheetView tabSelected="1" topLeftCell="D1" workbookViewId="0">
      <selection activeCell="F2" sqref="F2:N17"/>
    </sheetView>
  </sheetViews>
  <sheetFormatPr defaultRowHeight="14.5" x14ac:dyDescent="0.35"/>
  <cols>
    <col min="6" max="6" width="26.6328125" bestFit="1" customWidth="1"/>
    <col min="7" max="7" width="9" bestFit="1" customWidth="1"/>
    <col min="8" max="8" width="9.7265625" bestFit="1" customWidth="1"/>
    <col min="9" max="9" width="9.36328125" bestFit="1" customWidth="1"/>
    <col min="10" max="10" width="9.7265625" bestFit="1" customWidth="1"/>
    <col min="11" max="11" width="9.36328125" bestFit="1" customWidth="1"/>
    <col min="12" max="12" width="9.7265625" bestFit="1" customWidth="1"/>
    <col min="13" max="13" width="9.36328125" bestFit="1" customWidth="1"/>
    <col min="14" max="14" width="9.7265625" bestFit="1" customWidth="1"/>
  </cols>
  <sheetData>
    <row r="2" spans="6:14" ht="15" thickBot="1" x14ac:dyDescent="0.4">
      <c r="F2" s="73" t="s">
        <v>182</v>
      </c>
      <c r="G2" s="73"/>
      <c r="H2" s="73"/>
      <c r="I2" s="73"/>
      <c r="J2" s="73"/>
      <c r="K2" s="73"/>
      <c r="L2" s="73"/>
      <c r="M2" s="73"/>
      <c r="N2" s="73"/>
    </row>
    <row r="3" spans="6:14" x14ac:dyDescent="0.35">
      <c r="F3" s="74" t="s">
        <v>11</v>
      </c>
      <c r="G3" s="75" t="s">
        <v>36</v>
      </c>
      <c r="H3" s="75"/>
      <c r="I3" s="75" t="s">
        <v>23</v>
      </c>
      <c r="J3" s="75"/>
      <c r="K3" s="75" t="s">
        <v>147</v>
      </c>
      <c r="L3" s="75"/>
      <c r="M3" s="76" t="s">
        <v>146</v>
      </c>
      <c r="N3" s="77"/>
    </row>
    <row r="4" spans="6:14" ht="15" thickBot="1" x14ac:dyDescent="0.4">
      <c r="F4" s="78"/>
      <c r="G4" s="68" t="s">
        <v>67</v>
      </c>
      <c r="H4" s="68" t="s">
        <v>145</v>
      </c>
      <c r="I4" s="68" t="s">
        <v>67</v>
      </c>
      <c r="J4" s="68" t="s">
        <v>145</v>
      </c>
      <c r="K4" s="68" t="s">
        <v>67</v>
      </c>
      <c r="L4" s="68" t="s">
        <v>145</v>
      </c>
      <c r="M4" s="68" t="s">
        <v>67</v>
      </c>
      <c r="N4" s="69" t="s">
        <v>145</v>
      </c>
    </row>
    <row r="5" spans="6:14" x14ac:dyDescent="0.35">
      <c r="F5" s="79" t="s">
        <v>180</v>
      </c>
      <c r="G5" s="80">
        <v>0</v>
      </c>
      <c r="H5" s="80">
        <v>0</v>
      </c>
      <c r="I5" s="81">
        <v>5.25</v>
      </c>
      <c r="J5" s="80">
        <v>0.89775000000000005</v>
      </c>
      <c r="K5" s="80"/>
      <c r="L5" s="80">
        <v>0</v>
      </c>
      <c r="M5" s="81">
        <v>5.25</v>
      </c>
      <c r="N5" s="82">
        <v>0.89775000000000005</v>
      </c>
    </row>
    <row r="6" spans="6:14" x14ac:dyDescent="0.35">
      <c r="F6" s="83" t="s">
        <v>72</v>
      </c>
      <c r="G6" s="84">
        <v>0</v>
      </c>
      <c r="H6" s="84">
        <v>0</v>
      </c>
      <c r="I6" s="85">
        <v>2778.0030000000002</v>
      </c>
      <c r="J6" s="84">
        <v>0.86303983000000006</v>
      </c>
      <c r="K6" s="85">
        <v>3029.018</v>
      </c>
      <c r="L6" s="84">
        <v>0.98443084600000008</v>
      </c>
      <c r="M6" s="85">
        <v>5807.0209999999997</v>
      </c>
      <c r="N6" s="86">
        <v>1.8474706760000001</v>
      </c>
    </row>
    <row r="7" spans="6:14" x14ac:dyDescent="0.35">
      <c r="F7" s="83" t="s">
        <v>167</v>
      </c>
      <c r="G7" s="84">
        <v>0</v>
      </c>
      <c r="H7" s="84">
        <v>0</v>
      </c>
      <c r="I7" s="84">
        <v>0</v>
      </c>
      <c r="J7" s="84">
        <v>0</v>
      </c>
      <c r="K7" s="84">
        <v>3</v>
      </c>
      <c r="L7" s="84">
        <v>0.50000008200000001</v>
      </c>
      <c r="M7" s="84">
        <v>3</v>
      </c>
      <c r="N7" s="86">
        <v>0.50000008200000001</v>
      </c>
    </row>
    <row r="8" spans="6:14" x14ac:dyDescent="0.35">
      <c r="F8" s="83" t="s">
        <v>160</v>
      </c>
      <c r="G8" s="84">
        <v>0</v>
      </c>
      <c r="H8" s="84">
        <v>0</v>
      </c>
      <c r="I8" s="84">
        <v>0</v>
      </c>
      <c r="J8" s="84">
        <v>0</v>
      </c>
      <c r="K8" s="84">
        <v>3</v>
      </c>
      <c r="L8" s="84">
        <v>0.6</v>
      </c>
      <c r="M8" s="84">
        <v>3</v>
      </c>
      <c r="N8" s="86">
        <v>0.6</v>
      </c>
    </row>
    <row r="9" spans="6:14" x14ac:dyDescent="0.35">
      <c r="F9" s="83" t="s">
        <v>170</v>
      </c>
      <c r="G9" s="84">
        <v>0</v>
      </c>
      <c r="H9" s="84">
        <v>0</v>
      </c>
      <c r="I9" s="84">
        <v>0</v>
      </c>
      <c r="J9" s="84">
        <v>0</v>
      </c>
      <c r="K9" s="84">
        <v>3</v>
      </c>
      <c r="L9" s="84">
        <v>0.03</v>
      </c>
      <c r="M9" s="84">
        <v>3</v>
      </c>
      <c r="N9" s="86">
        <v>0.03</v>
      </c>
    </row>
    <row r="10" spans="6:14" x14ac:dyDescent="0.35">
      <c r="F10" s="83" t="s">
        <v>141</v>
      </c>
      <c r="G10" s="84">
        <v>0</v>
      </c>
      <c r="H10" s="84">
        <v>0</v>
      </c>
      <c r="I10" s="85">
        <v>10.44</v>
      </c>
      <c r="J10" s="84">
        <v>2.7143979999999998E-2</v>
      </c>
      <c r="K10" s="84">
        <v>0</v>
      </c>
      <c r="L10" s="84">
        <v>0</v>
      </c>
      <c r="M10" s="85">
        <v>10.44</v>
      </c>
      <c r="N10" s="86">
        <v>2.7143979999999998E-2</v>
      </c>
    </row>
    <row r="11" spans="6:14" x14ac:dyDescent="0.35">
      <c r="F11" s="83" t="s">
        <v>22</v>
      </c>
      <c r="G11" s="85">
        <v>16.190000000000001</v>
      </c>
      <c r="H11" s="84">
        <v>1.9427960000000001E-2</v>
      </c>
      <c r="I11" s="84">
        <v>0</v>
      </c>
      <c r="J11" s="84">
        <v>0</v>
      </c>
      <c r="K11" s="84">
        <v>0</v>
      </c>
      <c r="L11" s="84">
        <v>0</v>
      </c>
      <c r="M11" s="85">
        <v>16.190000000000001</v>
      </c>
      <c r="N11" s="86">
        <v>1.9427960000000001E-2</v>
      </c>
    </row>
    <row r="12" spans="6:14" x14ac:dyDescent="0.35">
      <c r="F12" s="83" t="s">
        <v>149</v>
      </c>
      <c r="G12" s="84">
        <v>0</v>
      </c>
      <c r="H12" s="84">
        <v>0</v>
      </c>
      <c r="I12" s="84">
        <v>0</v>
      </c>
      <c r="J12" s="84">
        <v>0</v>
      </c>
      <c r="K12" s="85">
        <v>12.41</v>
      </c>
      <c r="L12" s="84">
        <v>2.4819999999999998E-2</v>
      </c>
      <c r="M12" s="85">
        <v>12.41</v>
      </c>
      <c r="N12" s="86">
        <v>2.4819999999999998E-2</v>
      </c>
    </row>
    <row r="13" spans="6:14" x14ac:dyDescent="0.35">
      <c r="F13" s="83" t="s">
        <v>16</v>
      </c>
      <c r="G13" s="84">
        <v>0</v>
      </c>
      <c r="H13" s="84">
        <v>0</v>
      </c>
      <c r="I13" s="85">
        <v>39.39</v>
      </c>
      <c r="J13" s="84">
        <v>9.2855239999999999E-3</v>
      </c>
      <c r="K13" s="84">
        <v>0</v>
      </c>
      <c r="L13" s="84">
        <v>0</v>
      </c>
      <c r="M13" s="85">
        <v>39.39</v>
      </c>
      <c r="N13" s="86">
        <v>9.2855239999999999E-3</v>
      </c>
    </row>
    <row r="14" spans="6:14" x14ac:dyDescent="0.35">
      <c r="F14" s="83" t="s">
        <v>47</v>
      </c>
      <c r="G14" s="85">
        <v>23.07</v>
      </c>
      <c r="H14" s="84">
        <v>7.7460199999999993E-3</v>
      </c>
      <c r="I14" s="84">
        <v>0</v>
      </c>
      <c r="J14" s="84">
        <v>0</v>
      </c>
      <c r="K14" s="85">
        <v>11.83</v>
      </c>
      <c r="L14" s="84">
        <v>0</v>
      </c>
      <c r="M14" s="85">
        <v>34.9</v>
      </c>
      <c r="N14" s="86">
        <v>1.1886529999999999E-2</v>
      </c>
    </row>
    <row r="15" spans="6:14" ht="15" thickBot="1" x14ac:dyDescent="0.4">
      <c r="F15" s="87" t="s">
        <v>4</v>
      </c>
      <c r="G15" s="88">
        <f>SUM(G5:G14)</f>
        <v>39.260000000000005</v>
      </c>
      <c r="H15" s="88">
        <f>SUM(H5:H14)</f>
        <v>2.717398E-2</v>
      </c>
      <c r="I15" s="88">
        <f t="shared" ref="I15:N15" si="0">SUM(I5:I14)</f>
        <v>2833.0830000000001</v>
      </c>
      <c r="J15" s="88">
        <f t="shared" si="0"/>
        <v>1.7972193340000002</v>
      </c>
      <c r="K15" s="88">
        <f t="shared" si="0"/>
        <v>3062.2579999999998</v>
      </c>
      <c r="L15" s="88">
        <f t="shared" si="0"/>
        <v>2.1392509280000001</v>
      </c>
      <c r="M15" s="88">
        <f t="shared" si="0"/>
        <v>5934.6009999999987</v>
      </c>
      <c r="N15" s="89">
        <f t="shared" si="0"/>
        <v>3.967784752</v>
      </c>
    </row>
    <row r="16" spans="6:14" x14ac:dyDescent="0.35">
      <c r="F16" s="73"/>
      <c r="G16" s="73"/>
      <c r="H16" s="73"/>
      <c r="I16" s="73"/>
      <c r="J16" s="73"/>
      <c r="K16" s="73"/>
      <c r="L16" s="73"/>
      <c r="M16" s="73"/>
      <c r="N16" s="73"/>
    </row>
    <row r="17" spans="6:14" x14ac:dyDescent="0.35">
      <c r="F17" s="90" t="s">
        <v>181</v>
      </c>
      <c r="G17" s="90"/>
      <c r="H17" s="90"/>
      <c r="I17" s="90"/>
      <c r="J17" s="90"/>
      <c r="K17" s="90"/>
      <c r="L17" s="90"/>
      <c r="M17" s="90"/>
      <c r="N17" s="90"/>
    </row>
  </sheetData>
  <mergeCells count="6">
    <mergeCell ref="K3:L3"/>
    <mergeCell ref="M3:N3"/>
    <mergeCell ref="F3:F4"/>
    <mergeCell ref="F17:N17"/>
    <mergeCell ref="G3:H3"/>
    <mergeCell ref="I3:J3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FBE7-2F61-4A53-B7B0-F2EBEA76C9DF}">
  <dimension ref="A3:I16"/>
  <sheetViews>
    <sheetView topLeftCell="F1" workbookViewId="0">
      <selection activeCell="A4" sqref="A4:I16"/>
    </sheetView>
  </sheetViews>
  <sheetFormatPr defaultRowHeight="14.5" x14ac:dyDescent="0.35"/>
  <cols>
    <col min="1" max="1" width="40.26953125" bestFit="1" customWidth="1"/>
    <col min="2" max="2" width="16.81640625" bestFit="1" customWidth="1"/>
    <col min="3" max="3" width="21.54296875" bestFit="1" customWidth="1"/>
    <col min="4" max="4" width="16.81640625" bestFit="1" customWidth="1"/>
    <col min="5" max="5" width="21.54296875" bestFit="1" customWidth="1"/>
    <col min="6" max="6" width="16.81640625" bestFit="1" customWidth="1"/>
    <col min="7" max="7" width="21.54296875" bestFit="1" customWidth="1"/>
    <col min="8" max="8" width="21.7265625" bestFit="1" customWidth="1"/>
    <col min="9" max="9" width="26.36328125" bestFit="1" customWidth="1"/>
  </cols>
  <sheetData>
    <row r="3" spans="1:9" x14ac:dyDescent="0.35">
      <c r="B3" s="66" t="s">
        <v>174</v>
      </c>
    </row>
    <row r="4" spans="1:9" x14ac:dyDescent="0.35">
      <c r="B4" t="s">
        <v>36</v>
      </c>
      <c r="D4" t="s">
        <v>23</v>
      </c>
      <c r="F4" t="s">
        <v>147</v>
      </c>
      <c r="H4" t="s">
        <v>177</v>
      </c>
      <c r="I4" t="s">
        <v>178</v>
      </c>
    </row>
    <row r="5" spans="1:9" x14ac:dyDescent="0.35">
      <c r="A5" s="66" t="s">
        <v>175</v>
      </c>
      <c r="B5" t="s">
        <v>176</v>
      </c>
      <c r="C5" t="s">
        <v>179</v>
      </c>
      <c r="D5" t="s">
        <v>176</v>
      </c>
      <c r="E5" t="s">
        <v>179</v>
      </c>
      <c r="F5" t="s">
        <v>176</v>
      </c>
      <c r="G5" t="s">
        <v>179</v>
      </c>
    </row>
    <row r="6" spans="1:9" x14ac:dyDescent="0.35">
      <c r="A6" s="9" t="s">
        <v>131</v>
      </c>
      <c r="B6" s="67"/>
      <c r="C6" s="67"/>
      <c r="D6" s="67">
        <v>5250</v>
      </c>
      <c r="E6" s="67">
        <v>8977500</v>
      </c>
      <c r="F6" s="67"/>
      <c r="G6" s="67"/>
      <c r="H6" s="67">
        <v>5250</v>
      </c>
      <c r="I6" s="67">
        <v>8977500</v>
      </c>
    </row>
    <row r="7" spans="1:9" x14ac:dyDescent="0.35">
      <c r="A7" s="9" t="s">
        <v>167</v>
      </c>
      <c r="B7" s="67"/>
      <c r="C7" s="67"/>
      <c r="D7" s="67"/>
      <c r="E7" s="67"/>
      <c r="F7" s="67">
        <v>3</v>
      </c>
      <c r="G7" s="67">
        <v>5000000.82</v>
      </c>
      <c r="H7" s="67">
        <v>3</v>
      </c>
      <c r="I7" s="67">
        <v>5000000.82</v>
      </c>
    </row>
    <row r="8" spans="1:9" x14ac:dyDescent="0.35">
      <c r="A8" s="9" t="s">
        <v>47</v>
      </c>
      <c r="B8" s="67">
        <v>23070</v>
      </c>
      <c r="C8" s="67">
        <v>77460.2</v>
      </c>
      <c r="D8" s="67"/>
      <c r="E8" s="67"/>
      <c r="F8" s="67">
        <v>11830</v>
      </c>
      <c r="G8" s="67">
        <v>41405.1</v>
      </c>
      <c r="H8" s="67">
        <v>34900</v>
      </c>
      <c r="I8" s="67">
        <v>118865.29999999999</v>
      </c>
    </row>
    <row r="9" spans="1:9" x14ac:dyDescent="0.35">
      <c r="A9" s="9" t="s">
        <v>160</v>
      </c>
      <c r="B9" s="67"/>
      <c r="C9" s="67"/>
      <c r="D9" s="67"/>
      <c r="E9" s="67"/>
      <c r="F9" s="67">
        <v>3</v>
      </c>
      <c r="G9" s="67">
        <v>6000000</v>
      </c>
      <c r="H9" s="67">
        <v>3</v>
      </c>
      <c r="I9" s="67">
        <v>6000000</v>
      </c>
    </row>
    <row r="10" spans="1:9" x14ac:dyDescent="0.35">
      <c r="A10" s="9" t="s">
        <v>141</v>
      </c>
      <c r="B10" s="67"/>
      <c r="C10" s="67"/>
      <c r="D10" s="67">
        <v>10440</v>
      </c>
      <c r="E10" s="67">
        <v>271439.8</v>
      </c>
      <c r="F10" s="67"/>
      <c r="G10" s="67"/>
      <c r="H10" s="67">
        <v>10440</v>
      </c>
      <c r="I10" s="67">
        <v>271439.8</v>
      </c>
    </row>
    <row r="11" spans="1:9" x14ac:dyDescent="0.35">
      <c r="A11" s="9" t="s">
        <v>22</v>
      </c>
      <c r="B11" s="67">
        <v>16190</v>
      </c>
      <c r="C11" s="67">
        <v>194279.6</v>
      </c>
      <c r="D11" s="67"/>
      <c r="E11" s="67"/>
      <c r="F11" s="67"/>
      <c r="G11" s="67"/>
      <c r="H11" s="67">
        <v>16190</v>
      </c>
      <c r="I11" s="67">
        <v>194279.6</v>
      </c>
    </row>
    <row r="12" spans="1:9" x14ac:dyDescent="0.35">
      <c r="A12" s="9" t="s">
        <v>149</v>
      </c>
      <c r="B12" s="67"/>
      <c r="C12" s="67"/>
      <c r="D12" s="67"/>
      <c r="E12" s="67"/>
      <c r="F12" s="67">
        <v>12410</v>
      </c>
      <c r="G12" s="67">
        <v>248200</v>
      </c>
      <c r="H12" s="67">
        <v>12410</v>
      </c>
      <c r="I12" s="67">
        <v>248200</v>
      </c>
    </row>
    <row r="13" spans="1:9" x14ac:dyDescent="0.35">
      <c r="A13" s="9" t="s">
        <v>72</v>
      </c>
      <c r="B13" s="67"/>
      <c r="C13" s="67"/>
      <c r="D13" s="67">
        <v>2778003</v>
      </c>
      <c r="E13" s="67">
        <v>8630398.3000000007</v>
      </c>
      <c r="F13" s="67">
        <v>3029018</v>
      </c>
      <c r="G13" s="67">
        <v>9844308.4600000009</v>
      </c>
      <c r="H13" s="67">
        <v>5807021</v>
      </c>
      <c r="I13" s="67">
        <v>18474706.760000002</v>
      </c>
    </row>
    <row r="14" spans="1:9" x14ac:dyDescent="0.35">
      <c r="A14" s="9" t="s">
        <v>16</v>
      </c>
      <c r="B14" s="67"/>
      <c r="C14" s="67"/>
      <c r="D14" s="67">
        <v>39390</v>
      </c>
      <c r="E14" s="67">
        <v>92855.24</v>
      </c>
      <c r="F14" s="67"/>
      <c r="G14" s="67"/>
      <c r="H14" s="67">
        <v>39390</v>
      </c>
      <c r="I14" s="67">
        <v>92855.24</v>
      </c>
    </row>
    <row r="15" spans="1:9" x14ac:dyDescent="0.35">
      <c r="A15" s="9" t="s">
        <v>170</v>
      </c>
      <c r="B15" s="67"/>
      <c r="C15" s="67"/>
      <c r="D15" s="67"/>
      <c r="E15" s="67"/>
      <c r="F15" s="67">
        <v>3</v>
      </c>
      <c r="G15" s="67">
        <v>300000</v>
      </c>
      <c r="H15" s="67">
        <v>3</v>
      </c>
      <c r="I15" s="67">
        <v>300000</v>
      </c>
    </row>
    <row r="16" spans="1:9" x14ac:dyDescent="0.35">
      <c r="A16" s="9" t="s">
        <v>4</v>
      </c>
      <c r="B16" s="67">
        <v>39260</v>
      </c>
      <c r="C16" s="67">
        <v>271739.8</v>
      </c>
      <c r="D16" s="67">
        <v>2833083</v>
      </c>
      <c r="E16" s="67">
        <v>17972193.34</v>
      </c>
      <c r="F16" s="67">
        <v>3053267</v>
      </c>
      <c r="G16" s="67">
        <v>21433914.380000003</v>
      </c>
      <c r="H16" s="67">
        <v>5925610</v>
      </c>
      <c r="I16" s="67">
        <v>39677847.520000003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DC3F-3827-4E1C-94AD-7540DC571FD4}">
  <dimension ref="A1:AB29"/>
  <sheetViews>
    <sheetView topLeftCell="A2" zoomScale="70" zoomScaleNormal="70" workbookViewId="0">
      <pane xSplit="7" ySplit="3" topLeftCell="O10" activePane="bottomRight" state="frozen"/>
      <selection activeCell="A2" sqref="A2"/>
      <selection pane="topRight" activeCell="H2" sqref="H2"/>
      <selection pane="bottomLeft" activeCell="A3" sqref="A3"/>
      <selection pane="bottomRight" activeCell="A4" sqref="A4:T29"/>
    </sheetView>
  </sheetViews>
  <sheetFormatPr defaultColWidth="8.90625" defaultRowHeight="14.5" x14ac:dyDescent="0.35"/>
  <cols>
    <col min="1" max="1" width="14.26953125" bestFit="1" customWidth="1"/>
    <col min="2" max="2" width="12.81640625" style="11" bestFit="1" customWidth="1"/>
    <col min="3" max="3" width="11.54296875" style="11" bestFit="1" customWidth="1"/>
    <col min="4" max="4" width="14.26953125" style="9" bestFit="1" customWidth="1"/>
    <col min="5" max="5" width="26.6328125" bestFit="1" customWidth="1"/>
    <col min="6" max="6" width="18.1796875" style="1" bestFit="1" customWidth="1"/>
    <col min="7" max="7" width="16.54296875" style="9" bestFit="1" customWidth="1"/>
    <col min="8" max="8" width="15.1796875" bestFit="1" customWidth="1"/>
    <col min="9" max="9" width="32.1796875" style="12" bestFit="1" customWidth="1"/>
    <col min="10" max="10" width="15" style="12" bestFit="1" customWidth="1"/>
    <col min="11" max="11" width="16.7265625" style="8" bestFit="1" customWidth="1"/>
    <col min="12" max="12" width="14.90625" style="12" bestFit="1" customWidth="1"/>
    <col min="13" max="13" width="13.6328125" style="12" bestFit="1" customWidth="1"/>
    <col min="14" max="14" width="13.36328125" bestFit="1" customWidth="1"/>
    <col min="15" max="15" width="19.54296875" style="12" bestFit="1" customWidth="1"/>
    <col min="16" max="16" width="20.1796875" style="12" bestFit="1" customWidth="1"/>
    <col min="17" max="17" width="11" bestFit="1" customWidth="1"/>
    <col min="18" max="18" width="21" bestFit="1" customWidth="1"/>
    <col min="19" max="19" width="17" bestFit="1" customWidth="1"/>
    <col min="20" max="20" width="14.90625" bestFit="1" customWidth="1"/>
    <col min="21" max="21" width="20.26953125" bestFit="1" customWidth="1"/>
    <col min="22" max="22" width="15" bestFit="1" customWidth="1"/>
    <col min="23" max="23" width="13.453125" bestFit="1" customWidth="1"/>
    <col min="24" max="24" width="8.08984375" bestFit="1" customWidth="1"/>
    <col min="25" max="25" width="10.7265625" bestFit="1" customWidth="1"/>
    <col min="26" max="27" width="10.08984375" bestFit="1" customWidth="1"/>
    <col min="28" max="28" width="10.90625" bestFit="1" customWidth="1"/>
  </cols>
  <sheetData>
    <row r="1" spans="1:28" ht="55.75" hidden="1" customHeight="1" x14ac:dyDescent="0.35">
      <c r="A1" s="70" t="s">
        <v>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28" s="58" customFormat="1" ht="55.75" customHeight="1" thickBot="1" x14ac:dyDescent="0.5">
      <c r="A2" s="56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61">
        <f>P3/1000</f>
        <v>2872.3429999999998</v>
      </c>
      <c r="Q2" s="62"/>
      <c r="R2" s="63">
        <f>R3/10000000</f>
        <v>1.8243933140000002</v>
      </c>
    </row>
    <row r="3" spans="1:28" s="58" customFormat="1" ht="55.75" customHeight="1" thickBot="1" x14ac:dyDescent="0.5">
      <c r="A3" s="56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9">
        <f>SUBTOTAL(9,P5:P20)</f>
        <v>2872343</v>
      </c>
      <c r="Q3" s="60"/>
      <c r="R3" s="59">
        <f>SUBTOTAL(9,R5:R20)</f>
        <v>18243933.140000001</v>
      </c>
    </row>
    <row r="4" spans="1:28" s="2" customFormat="1" ht="15" thickBot="1" x14ac:dyDescent="0.4">
      <c r="A4" s="18" t="s">
        <v>25</v>
      </c>
      <c r="B4" s="19" t="s">
        <v>17</v>
      </c>
      <c r="C4" s="19" t="s">
        <v>26</v>
      </c>
      <c r="D4" s="19" t="s">
        <v>11</v>
      </c>
      <c r="E4" s="19" t="s">
        <v>12</v>
      </c>
      <c r="F4" s="19" t="s">
        <v>9</v>
      </c>
      <c r="G4" s="19" t="s">
        <v>10</v>
      </c>
      <c r="H4" s="19" t="s">
        <v>7</v>
      </c>
      <c r="I4" s="19" t="s">
        <v>8</v>
      </c>
      <c r="J4" s="19" t="s">
        <v>91</v>
      </c>
      <c r="K4" s="19" t="s">
        <v>27</v>
      </c>
      <c r="L4" s="19" t="s">
        <v>14</v>
      </c>
      <c r="M4" s="19" t="s">
        <v>15</v>
      </c>
      <c r="N4" s="19" t="s">
        <v>92</v>
      </c>
      <c r="O4" s="19" t="s">
        <v>13</v>
      </c>
      <c r="P4" s="19" t="s">
        <v>28</v>
      </c>
      <c r="Q4" s="19" t="s">
        <v>6</v>
      </c>
      <c r="R4" s="19" t="s">
        <v>29</v>
      </c>
      <c r="S4" s="19" t="s">
        <v>30</v>
      </c>
      <c r="T4" s="19" t="s">
        <v>31</v>
      </c>
      <c r="U4" s="19" t="s">
        <v>32</v>
      </c>
      <c r="V4" s="19" t="s">
        <v>33</v>
      </c>
      <c r="W4" s="19" t="s">
        <v>34</v>
      </c>
      <c r="X4" s="19" t="s">
        <v>0</v>
      </c>
      <c r="Y4" s="19" t="s">
        <v>93</v>
      </c>
      <c r="Z4" s="19" t="s">
        <v>94</v>
      </c>
      <c r="AA4" s="19" t="s">
        <v>95</v>
      </c>
      <c r="AB4" s="20" t="s">
        <v>96</v>
      </c>
    </row>
    <row r="5" spans="1:28" x14ac:dyDescent="0.35">
      <c r="A5" s="4" t="s">
        <v>35</v>
      </c>
      <c r="B5" s="4" t="s">
        <v>36</v>
      </c>
      <c r="C5" s="4" t="s">
        <v>1</v>
      </c>
      <c r="D5" s="3">
        <v>151000012</v>
      </c>
      <c r="E5" s="4" t="s">
        <v>47</v>
      </c>
      <c r="F5" s="4" t="s">
        <v>48</v>
      </c>
      <c r="G5" s="24">
        <v>46121</v>
      </c>
      <c r="H5" s="3">
        <v>40058</v>
      </c>
      <c r="I5" s="4" t="s">
        <v>43</v>
      </c>
      <c r="J5" s="3">
        <v>38140010</v>
      </c>
      <c r="K5" s="4" t="s">
        <v>38</v>
      </c>
      <c r="L5" s="3">
        <v>11190932</v>
      </c>
      <c r="M5" s="3">
        <v>801146129</v>
      </c>
      <c r="N5" s="3">
        <v>901346743</v>
      </c>
      <c r="O5" s="23">
        <v>16500</v>
      </c>
      <c r="P5" s="23">
        <v>16500</v>
      </c>
      <c r="Q5" s="22">
        <v>3.5</v>
      </c>
      <c r="R5" s="23">
        <v>57750</v>
      </c>
      <c r="S5" s="23">
        <v>10395</v>
      </c>
      <c r="T5" s="23">
        <v>68145</v>
      </c>
      <c r="U5" s="4" t="s">
        <v>39</v>
      </c>
      <c r="V5" s="4" t="s">
        <v>41</v>
      </c>
      <c r="W5" s="4" t="s">
        <v>49</v>
      </c>
      <c r="X5" s="4" t="s">
        <v>41</v>
      </c>
      <c r="Y5" s="4" t="s">
        <v>104</v>
      </c>
      <c r="Z5" s="4" t="s">
        <v>41</v>
      </c>
      <c r="AA5" s="4" t="s">
        <v>41</v>
      </c>
      <c r="AB5" s="4" t="s">
        <v>41</v>
      </c>
    </row>
    <row r="6" spans="1:28" x14ac:dyDescent="0.35">
      <c r="A6" s="4" t="s">
        <v>35</v>
      </c>
      <c r="B6" s="4" t="s">
        <v>36</v>
      </c>
      <c r="C6" s="4" t="s">
        <v>1</v>
      </c>
      <c r="D6" s="3">
        <v>151000053</v>
      </c>
      <c r="E6" s="4" t="s">
        <v>22</v>
      </c>
      <c r="F6" s="4" t="s">
        <v>56</v>
      </c>
      <c r="G6" s="24">
        <v>46131</v>
      </c>
      <c r="H6" s="3">
        <v>40003</v>
      </c>
      <c r="I6" s="4" t="s">
        <v>2</v>
      </c>
      <c r="J6" s="3">
        <v>29051100</v>
      </c>
      <c r="K6" s="4" t="s">
        <v>38</v>
      </c>
      <c r="L6" s="3">
        <v>11191997</v>
      </c>
      <c r="M6" s="3">
        <v>801147150</v>
      </c>
      <c r="N6" s="3">
        <v>901348198</v>
      </c>
      <c r="O6" s="23">
        <v>16190</v>
      </c>
      <c r="P6" s="23">
        <v>16190</v>
      </c>
      <c r="Q6" s="22">
        <v>11.999975293390982</v>
      </c>
      <c r="R6" s="23">
        <v>194279.6</v>
      </c>
      <c r="S6" s="23">
        <v>34970.400000000001</v>
      </c>
      <c r="T6" s="23">
        <v>229250</v>
      </c>
      <c r="U6" s="4" t="s">
        <v>39</v>
      </c>
      <c r="V6" s="4" t="s">
        <v>41</v>
      </c>
      <c r="W6" s="4" t="s">
        <v>57</v>
      </c>
      <c r="X6" s="4" t="s">
        <v>41</v>
      </c>
      <c r="Y6" s="4" t="s">
        <v>110</v>
      </c>
      <c r="Z6" s="4" t="s">
        <v>41</v>
      </c>
      <c r="AA6" s="4" t="s">
        <v>41</v>
      </c>
      <c r="AB6" s="4" t="s">
        <v>41</v>
      </c>
    </row>
    <row r="7" spans="1:28" x14ac:dyDescent="0.35">
      <c r="A7" s="4" t="s">
        <v>35</v>
      </c>
      <c r="B7" s="4" t="s">
        <v>36</v>
      </c>
      <c r="C7" s="4" t="s">
        <v>1</v>
      </c>
      <c r="D7" s="3">
        <v>151000012</v>
      </c>
      <c r="E7" s="4" t="s">
        <v>47</v>
      </c>
      <c r="F7" s="4" t="s">
        <v>58</v>
      </c>
      <c r="G7" s="24">
        <v>46132</v>
      </c>
      <c r="H7" s="3">
        <v>40058</v>
      </c>
      <c r="I7" s="4" t="s">
        <v>43</v>
      </c>
      <c r="J7" s="3">
        <v>38140010</v>
      </c>
      <c r="K7" s="4" t="s">
        <v>38</v>
      </c>
      <c r="L7" s="3">
        <v>11192171</v>
      </c>
      <c r="M7" s="3">
        <v>801147298</v>
      </c>
      <c r="N7" s="3">
        <v>901348480</v>
      </c>
      <c r="O7" s="23">
        <v>6570</v>
      </c>
      <c r="P7" s="23">
        <v>6570</v>
      </c>
      <c r="Q7" s="22">
        <v>3.0000304414003045</v>
      </c>
      <c r="R7" s="23">
        <v>19710.2</v>
      </c>
      <c r="S7" s="23">
        <v>3547.8</v>
      </c>
      <c r="T7" s="23">
        <v>23258</v>
      </c>
      <c r="U7" s="4" t="s">
        <v>39</v>
      </c>
      <c r="V7" s="29" t="s">
        <v>59</v>
      </c>
      <c r="W7" s="4" t="s">
        <v>60</v>
      </c>
      <c r="X7" s="4" t="s">
        <v>41</v>
      </c>
      <c r="Y7" s="4" t="s">
        <v>112</v>
      </c>
      <c r="Z7" s="4" t="s">
        <v>41</v>
      </c>
      <c r="AA7" s="4" t="s">
        <v>41</v>
      </c>
      <c r="AB7" s="4" t="s">
        <v>41</v>
      </c>
    </row>
    <row r="8" spans="1:28" x14ac:dyDescent="0.35">
      <c r="A8" s="4" t="s">
        <v>35</v>
      </c>
      <c r="B8" s="4" t="s">
        <v>23</v>
      </c>
      <c r="C8" s="4" t="s">
        <v>1</v>
      </c>
      <c r="D8" s="3">
        <v>151000015</v>
      </c>
      <c r="E8" s="4" t="s">
        <v>16</v>
      </c>
      <c r="F8" s="4" t="s">
        <v>75</v>
      </c>
      <c r="G8" s="24">
        <v>46143</v>
      </c>
      <c r="H8" s="3">
        <v>40058</v>
      </c>
      <c r="I8" s="4" t="s">
        <v>43</v>
      </c>
      <c r="J8" s="3">
        <v>28070010</v>
      </c>
      <c r="K8" s="4" t="s">
        <v>38</v>
      </c>
      <c r="L8" s="3">
        <v>11193778</v>
      </c>
      <c r="M8" s="3">
        <v>801149043</v>
      </c>
      <c r="N8" s="3">
        <v>901353564</v>
      </c>
      <c r="O8" s="23">
        <v>11240</v>
      </c>
      <c r="P8" s="23">
        <v>11240</v>
      </c>
      <c r="Q8" s="22">
        <v>2</v>
      </c>
      <c r="R8" s="23">
        <v>22480</v>
      </c>
      <c r="S8" s="23">
        <v>1124</v>
      </c>
      <c r="T8" s="23">
        <v>23604</v>
      </c>
      <c r="U8" s="4" t="s">
        <v>39</v>
      </c>
      <c r="V8" s="4" t="s">
        <v>41</v>
      </c>
      <c r="W8" s="4" t="s">
        <v>81</v>
      </c>
      <c r="X8" s="4" t="s">
        <v>41</v>
      </c>
      <c r="Y8" s="4" t="s">
        <v>116</v>
      </c>
      <c r="Z8" s="4" t="s">
        <v>41</v>
      </c>
      <c r="AA8" s="4" t="s">
        <v>41</v>
      </c>
      <c r="AB8" s="4" t="s">
        <v>41</v>
      </c>
    </row>
    <row r="9" spans="1:28" x14ac:dyDescent="0.35">
      <c r="A9" s="4" t="s">
        <v>68</v>
      </c>
      <c r="B9" s="4" t="s">
        <v>23</v>
      </c>
      <c r="C9" s="4" t="s">
        <v>69</v>
      </c>
      <c r="D9" s="3">
        <v>100000946</v>
      </c>
      <c r="E9" s="4" t="s">
        <v>72</v>
      </c>
      <c r="F9" s="4" t="s">
        <v>77</v>
      </c>
      <c r="G9" s="24">
        <v>46147</v>
      </c>
      <c r="H9" s="3">
        <v>40050</v>
      </c>
      <c r="I9" s="4" t="s">
        <v>70</v>
      </c>
      <c r="J9" s="3">
        <v>28539090</v>
      </c>
      <c r="K9" s="50">
        <v>5210010956</v>
      </c>
      <c r="L9" s="3">
        <v>11194054</v>
      </c>
      <c r="M9" s="3">
        <v>801149253</v>
      </c>
      <c r="N9" s="3">
        <v>901353975</v>
      </c>
      <c r="O9" s="23">
        <v>541053</v>
      </c>
      <c r="P9" s="23">
        <v>541053</v>
      </c>
      <c r="Q9" s="22">
        <v>2.7000002587546876</v>
      </c>
      <c r="R9" s="23">
        <v>1460843.24</v>
      </c>
      <c r="S9" s="23">
        <v>262951.76</v>
      </c>
      <c r="T9" s="23">
        <v>1723795</v>
      </c>
      <c r="U9" s="4" t="s">
        <v>39</v>
      </c>
      <c r="V9" s="4" t="s">
        <v>41</v>
      </c>
      <c r="W9" s="4" t="s">
        <v>83</v>
      </c>
      <c r="X9" s="4" t="s">
        <v>41</v>
      </c>
      <c r="Y9" s="4" t="s">
        <v>41</v>
      </c>
      <c r="Z9" s="4" t="s">
        <v>41</v>
      </c>
      <c r="AA9" s="4" t="s">
        <v>41</v>
      </c>
      <c r="AB9" s="4" t="s">
        <v>41</v>
      </c>
    </row>
    <row r="10" spans="1:28" x14ac:dyDescent="0.35">
      <c r="A10" s="4" t="s">
        <v>68</v>
      </c>
      <c r="B10" s="4" t="s">
        <v>23</v>
      </c>
      <c r="C10" s="4" t="s">
        <v>69</v>
      </c>
      <c r="D10" s="3">
        <v>100000946</v>
      </c>
      <c r="E10" s="4" t="s">
        <v>72</v>
      </c>
      <c r="F10" s="4" t="s">
        <v>78</v>
      </c>
      <c r="G10" s="24">
        <v>46147</v>
      </c>
      <c r="H10" s="3">
        <v>40050</v>
      </c>
      <c r="I10" s="4" t="s">
        <v>70</v>
      </c>
      <c r="J10" s="3">
        <v>28539090</v>
      </c>
      <c r="K10" s="50">
        <v>5210012384</v>
      </c>
      <c r="L10" s="3">
        <v>11194056</v>
      </c>
      <c r="M10" s="3">
        <v>801149256</v>
      </c>
      <c r="N10" s="3">
        <v>901353986</v>
      </c>
      <c r="O10" s="23">
        <v>2054164</v>
      </c>
      <c r="P10" s="23">
        <v>2054164</v>
      </c>
      <c r="Q10" s="22">
        <v>3.2500000292089628</v>
      </c>
      <c r="R10" s="23">
        <v>6676033.0599999996</v>
      </c>
      <c r="S10" s="23">
        <v>1201685.94</v>
      </c>
      <c r="T10" s="23">
        <v>7877719</v>
      </c>
      <c r="U10" s="4" t="s">
        <v>39</v>
      </c>
      <c r="V10" s="4" t="s">
        <v>41</v>
      </c>
      <c r="W10" s="4" t="s">
        <v>83</v>
      </c>
      <c r="X10" s="4" t="s">
        <v>41</v>
      </c>
      <c r="Y10" s="4" t="s">
        <v>41</v>
      </c>
      <c r="Z10" s="4" t="s">
        <v>41</v>
      </c>
      <c r="AA10" s="4" t="s">
        <v>41</v>
      </c>
      <c r="AB10" s="4" t="s">
        <v>41</v>
      </c>
    </row>
    <row r="11" spans="1:28" x14ac:dyDescent="0.35">
      <c r="A11" s="4" t="s">
        <v>68</v>
      </c>
      <c r="B11" s="4" t="s">
        <v>23</v>
      </c>
      <c r="C11" s="4" t="s">
        <v>69</v>
      </c>
      <c r="D11" s="3">
        <v>100000946</v>
      </c>
      <c r="E11" s="4" t="s">
        <v>72</v>
      </c>
      <c r="F11" s="4" t="s">
        <v>79</v>
      </c>
      <c r="G11" s="24">
        <v>46147</v>
      </c>
      <c r="H11" s="3">
        <v>40050</v>
      </c>
      <c r="I11" s="4" t="s">
        <v>70</v>
      </c>
      <c r="J11" s="3">
        <v>28539090</v>
      </c>
      <c r="K11" s="50">
        <v>5210010956</v>
      </c>
      <c r="L11" s="3">
        <v>11194092</v>
      </c>
      <c r="M11" s="3">
        <v>801149292</v>
      </c>
      <c r="N11" s="3">
        <v>901354216</v>
      </c>
      <c r="O11" s="23">
        <v>182786</v>
      </c>
      <c r="P11" s="23">
        <v>182786</v>
      </c>
      <c r="Q11" s="22">
        <v>2.6999989058242972</v>
      </c>
      <c r="R11" s="23">
        <v>493522</v>
      </c>
      <c r="S11" s="23">
        <v>88834</v>
      </c>
      <c r="T11" s="23">
        <v>582356</v>
      </c>
      <c r="U11" s="4" t="s">
        <v>39</v>
      </c>
      <c r="V11" s="4" t="s">
        <v>41</v>
      </c>
      <c r="W11" s="4" t="s">
        <v>83</v>
      </c>
      <c r="X11" s="4" t="s">
        <v>41</v>
      </c>
      <c r="Y11" s="4" t="s">
        <v>41</v>
      </c>
      <c r="Z11" s="4" t="s">
        <v>41</v>
      </c>
      <c r="AA11" s="4" t="s">
        <v>41</v>
      </c>
      <c r="AB11" s="4" t="s">
        <v>41</v>
      </c>
    </row>
    <row r="12" spans="1:28" x14ac:dyDescent="0.35">
      <c r="A12" s="4" t="s">
        <v>35</v>
      </c>
      <c r="B12" s="4" t="s">
        <v>23</v>
      </c>
      <c r="C12" s="4" t="s">
        <v>1</v>
      </c>
      <c r="D12" s="3">
        <v>151000015</v>
      </c>
      <c r="E12" s="4" t="s">
        <v>16</v>
      </c>
      <c r="F12" s="4" t="s">
        <v>80</v>
      </c>
      <c r="G12" s="24">
        <v>46155</v>
      </c>
      <c r="H12" s="3">
        <v>40067</v>
      </c>
      <c r="I12" s="4" t="s">
        <v>71</v>
      </c>
      <c r="J12" s="3">
        <v>28070010</v>
      </c>
      <c r="K12" s="4" t="s">
        <v>38</v>
      </c>
      <c r="L12" s="3">
        <v>11195062</v>
      </c>
      <c r="M12" s="3">
        <v>801150443</v>
      </c>
      <c r="N12" s="3">
        <v>901358452</v>
      </c>
      <c r="O12" s="23">
        <v>28150</v>
      </c>
      <c r="P12" s="23">
        <v>28150</v>
      </c>
      <c r="Q12" s="22">
        <v>2.5000085257548847</v>
      </c>
      <c r="R12" s="23">
        <v>70375.240000000005</v>
      </c>
      <c r="S12" s="23">
        <v>3518.76</v>
      </c>
      <c r="T12" s="23">
        <v>73894</v>
      </c>
      <c r="U12" s="4" t="s">
        <v>39</v>
      </c>
      <c r="V12" s="3">
        <v>417</v>
      </c>
      <c r="W12" s="4" t="s">
        <v>84</v>
      </c>
      <c r="X12" s="4" t="s">
        <v>41</v>
      </c>
      <c r="Y12" s="4" t="s">
        <v>121</v>
      </c>
      <c r="Z12" s="4" t="s">
        <v>41</v>
      </c>
      <c r="AA12" s="4" t="s">
        <v>41</v>
      </c>
      <c r="AB12" s="4" t="s">
        <v>41</v>
      </c>
    </row>
    <row r="13" spans="1:28" x14ac:dyDescent="0.35">
      <c r="A13" s="4" t="s">
        <v>68</v>
      </c>
      <c r="B13" s="4" t="s">
        <v>23</v>
      </c>
      <c r="C13" s="4" t="s">
        <v>3</v>
      </c>
      <c r="D13" s="3">
        <v>100000874</v>
      </c>
      <c r="E13" s="4" t="s">
        <v>131</v>
      </c>
      <c r="F13" s="4" t="s">
        <v>132</v>
      </c>
      <c r="G13" s="48">
        <v>46171</v>
      </c>
      <c r="H13" s="3">
        <v>40069</v>
      </c>
      <c r="I13" s="4" t="s">
        <v>133</v>
      </c>
      <c r="J13" s="3">
        <v>29222990</v>
      </c>
      <c r="K13" s="4" t="s">
        <v>134</v>
      </c>
      <c r="L13" s="3">
        <v>11199289</v>
      </c>
      <c r="M13" s="3">
        <v>801154484</v>
      </c>
      <c r="N13" s="3">
        <v>901369072</v>
      </c>
      <c r="O13" s="25">
        <v>50</v>
      </c>
      <c r="P13" s="25">
        <v>50</v>
      </c>
      <c r="Q13" s="30">
        <v>1710</v>
      </c>
      <c r="R13" s="26">
        <v>85500</v>
      </c>
      <c r="S13" s="26">
        <v>15390</v>
      </c>
      <c r="T13" s="26">
        <v>100890</v>
      </c>
      <c r="U13" s="40" t="s">
        <v>39</v>
      </c>
      <c r="V13" s="40" t="s">
        <v>41</v>
      </c>
      <c r="W13" s="40" t="s">
        <v>135</v>
      </c>
      <c r="X13" s="40" t="s">
        <v>41</v>
      </c>
      <c r="Y13" s="34">
        <v>260303</v>
      </c>
      <c r="Z13" s="24">
        <v>46101</v>
      </c>
      <c r="AA13" s="24">
        <v>46446</v>
      </c>
      <c r="AB13" s="4" t="s">
        <v>41</v>
      </c>
    </row>
    <row r="14" spans="1:28" x14ac:dyDescent="0.35">
      <c r="A14" s="4" t="s">
        <v>68</v>
      </c>
      <c r="B14" s="4" t="s">
        <v>23</v>
      </c>
      <c r="C14" s="4" t="s">
        <v>3</v>
      </c>
      <c r="D14" s="3">
        <v>100000874</v>
      </c>
      <c r="E14" s="4" t="s">
        <v>131</v>
      </c>
      <c r="F14" s="4" t="s">
        <v>132</v>
      </c>
      <c r="G14" s="48">
        <v>46171</v>
      </c>
      <c r="H14" s="3">
        <v>40069</v>
      </c>
      <c r="I14" s="4" t="s">
        <v>133</v>
      </c>
      <c r="J14" s="3">
        <v>29222990</v>
      </c>
      <c r="K14" s="4" t="s">
        <v>134</v>
      </c>
      <c r="L14" s="3">
        <v>11199289</v>
      </c>
      <c r="M14" s="3">
        <v>801154484</v>
      </c>
      <c r="N14" s="3">
        <v>901369072</v>
      </c>
      <c r="O14" s="25">
        <v>200</v>
      </c>
      <c r="P14" s="25">
        <v>200</v>
      </c>
      <c r="Q14" s="30">
        <v>1710</v>
      </c>
      <c r="R14" s="26">
        <v>342000</v>
      </c>
      <c r="S14" s="26">
        <v>61560</v>
      </c>
      <c r="T14" s="26">
        <v>403560</v>
      </c>
      <c r="U14" s="40" t="s">
        <v>39</v>
      </c>
      <c r="V14" s="40" t="s">
        <v>41</v>
      </c>
      <c r="W14" s="40" t="s">
        <v>135</v>
      </c>
      <c r="X14" s="40" t="s">
        <v>41</v>
      </c>
      <c r="Y14" s="34">
        <v>260304</v>
      </c>
      <c r="Z14" s="24">
        <v>46104</v>
      </c>
      <c r="AA14" s="24">
        <v>46446</v>
      </c>
      <c r="AB14" s="4" t="s">
        <v>41</v>
      </c>
    </row>
    <row r="15" spans="1:28" x14ac:dyDescent="0.35">
      <c r="A15" s="4" t="s">
        <v>68</v>
      </c>
      <c r="B15" s="4" t="s">
        <v>23</v>
      </c>
      <c r="C15" s="4" t="s">
        <v>3</v>
      </c>
      <c r="D15" s="3">
        <v>100000874</v>
      </c>
      <c r="E15" s="4" t="s">
        <v>131</v>
      </c>
      <c r="F15" s="4" t="s">
        <v>132</v>
      </c>
      <c r="G15" s="48">
        <v>46171</v>
      </c>
      <c r="H15" s="3">
        <v>40069</v>
      </c>
      <c r="I15" s="4" t="s">
        <v>133</v>
      </c>
      <c r="J15" s="3">
        <v>29222990</v>
      </c>
      <c r="K15" s="4" t="s">
        <v>134</v>
      </c>
      <c r="L15" s="3">
        <v>11199289</v>
      </c>
      <c r="M15" s="3">
        <v>801154484</v>
      </c>
      <c r="N15" s="3">
        <v>901369072</v>
      </c>
      <c r="O15" s="25">
        <v>1000</v>
      </c>
      <c r="P15" s="25">
        <v>1000</v>
      </c>
      <c r="Q15" s="30">
        <v>1710</v>
      </c>
      <c r="R15" s="26">
        <v>1710000</v>
      </c>
      <c r="S15" s="26">
        <v>307800</v>
      </c>
      <c r="T15" s="26">
        <v>2017800</v>
      </c>
      <c r="U15" s="40" t="s">
        <v>39</v>
      </c>
      <c r="V15" s="40" t="s">
        <v>41</v>
      </c>
      <c r="W15" s="40" t="s">
        <v>135</v>
      </c>
      <c r="X15" s="40" t="s">
        <v>41</v>
      </c>
      <c r="Y15" s="10" t="s">
        <v>136</v>
      </c>
      <c r="Z15" s="24">
        <v>46112</v>
      </c>
      <c r="AA15" s="24">
        <v>46446</v>
      </c>
      <c r="AB15" s="4" t="s">
        <v>41</v>
      </c>
    </row>
    <row r="16" spans="1:28" x14ac:dyDescent="0.35">
      <c r="A16" s="4" t="s">
        <v>68</v>
      </c>
      <c r="B16" s="4" t="s">
        <v>23</v>
      </c>
      <c r="C16" s="4" t="s">
        <v>3</v>
      </c>
      <c r="D16" s="3">
        <v>100000874</v>
      </c>
      <c r="E16" s="4" t="s">
        <v>131</v>
      </c>
      <c r="F16" s="4" t="s">
        <v>132</v>
      </c>
      <c r="G16" s="48">
        <v>46171</v>
      </c>
      <c r="H16" s="3">
        <v>40069</v>
      </c>
      <c r="I16" s="4" t="s">
        <v>133</v>
      </c>
      <c r="J16" s="3">
        <v>29222990</v>
      </c>
      <c r="K16" s="4" t="s">
        <v>134</v>
      </c>
      <c r="L16" s="3">
        <v>11199289</v>
      </c>
      <c r="M16" s="3">
        <v>801154484</v>
      </c>
      <c r="N16" s="3">
        <v>901369072</v>
      </c>
      <c r="O16" s="25">
        <v>1000</v>
      </c>
      <c r="P16" s="25">
        <v>1000</v>
      </c>
      <c r="Q16" s="30">
        <v>1710</v>
      </c>
      <c r="R16" s="26">
        <v>1710000</v>
      </c>
      <c r="S16" s="26">
        <v>307800</v>
      </c>
      <c r="T16" s="26">
        <v>2017800</v>
      </c>
      <c r="U16" s="40" t="s">
        <v>39</v>
      </c>
      <c r="V16" s="40" t="s">
        <v>41</v>
      </c>
      <c r="W16" s="40" t="s">
        <v>135</v>
      </c>
      <c r="X16" s="40" t="s">
        <v>41</v>
      </c>
      <c r="Y16" s="10" t="s">
        <v>137</v>
      </c>
      <c r="Z16" s="24">
        <v>46112</v>
      </c>
      <c r="AA16" s="24">
        <v>46446</v>
      </c>
      <c r="AB16" s="4" t="s">
        <v>41</v>
      </c>
    </row>
    <row r="17" spans="1:28" x14ac:dyDescent="0.35">
      <c r="A17" s="4" t="s">
        <v>68</v>
      </c>
      <c r="B17" s="4" t="s">
        <v>23</v>
      </c>
      <c r="C17" s="4" t="s">
        <v>3</v>
      </c>
      <c r="D17" s="3">
        <v>100000874</v>
      </c>
      <c r="E17" s="4" t="s">
        <v>131</v>
      </c>
      <c r="F17" s="4" t="s">
        <v>132</v>
      </c>
      <c r="G17" s="48">
        <v>46171</v>
      </c>
      <c r="H17" s="3">
        <v>40069</v>
      </c>
      <c r="I17" s="4" t="s">
        <v>133</v>
      </c>
      <c r="J17" s="3">
        <v>29222990</v>
      </c>
      <c r="K17" s="4" t="s">
        <v>134</v>
      </c>
      <c r="L17" s="3">
        <v>11199289</v>
      </c>
      <c r="M17" s="3">
        <v>801154484</v>
      </c>
      <c r="N17" s="3">
        <v>901369072</v>
      </c>
      <c r="O17" s="25">
        <v>1000</v>
      </c>
      <c r="P17" s="25">
        <v>1000</v>
      </c>
      <c r="Q17" s="30">
        <v>1710</v>
      </c>
      <c r="R17" s="26">
        <v>1710000</v>
      </c>
      <c r="S17" s="26">
        <v>307800</v>
      </c>
      <c r="T17" s="26">
        <v>2017800</v>
      </c>
      <c r="U17" s="40" t="s">
        <v>39</v>
      </c>
      <c r="V17" s="40" t="s">
        <v>41</v>
      </c>
      <c r="W17" s="40" t="s">
        <v>135</v>
      </c>
      <c r="X17" s="40" t="s">
        <v>41</v>
      </c>
      <c r="Y17" s="10" t="s">
        <v>138</v>
      </c>
      <c r="Z17" s="24">
        <v>46112</v>
      </c>
      <c r="AA17" s="24">
        <v>46446</v>
      </c>
      <c r="AB17" s="4" t="s">
        <v>41</v>
      </c>
    </row>
    <row r="18" spans="1:28" x14ac:dyDescent="0.35">
      <c r="A18" s="4" t="s">
        <v>68</v>
      </c>
      <c r="B18" s="4" t="s">
        <v>23</v>
      </c>
      <c r="C18" s="4" t="s">
        <v>3</v>
      </c>
      <c r="D18" s="3">
        <v>100000874</v>
      </c>
      <c r="E18" s="4" t="s">
        <v>131</v>
      </c>
      <c r="F18" s="4" t="s">
        <v>132</v>
      </c>
      <c r="G18" s="48">
        <v>46171</v>
      </c>
      <c r="H18" s="3">
        <v>40069</v>
      </c>
      <c r="I18" s="4" t="s">
        <v>133</v>
      </c>
      <c r="J18" s="3">
        <v>29222990</v>
      </c>
      <c r="K18" s="4" t="s">
        <v>134</v>
      </c>
      <c r="L18" s="3">
        <v>11199289</v>
      </c>
      <c r="M18" s="3">
        <v>801154484</v>
      </c>
      <c r="N18" s="3">
        <v>901369072</v>
      </c>
      <c r="O18" s="25">
        <v>1000</v>
      </c>
      <c r="P18" s="25">
        <v>1000</v>
      </c>
      <c r="Q18" s="30">
        <v>1710</v>
      </c>
      <c r="R18" s="26">
        <v>1710000</v>
      </c>
      <c r="S18" s="26">
        <v>307800</v>
      </c>
      <c r="T18" s="26">
        <v>2017800</v>
      </c>
      <c r="U18" s="40" t="s">
        <v>39</v>
      </c>
      <c r="V18" s="40" t="s">
        <v>41</v>
      </c>
      <c r="W18" s="40" t="s">
        <v>135</v>
      </c>
      <c r="X18" s="40" t="s">
        <v>41</v>
      </c>
      <c r="Y18" s="10" t="s">
        <v>139</v>
      </c>
      <c r="Z18" s="24">
        <v>46112</v>
      </c>
      <c r="AA18" s="24">
        <v>46446</v>
      </c>
      <c r="AB18" s="4" t="s">
        <v>41</v>
      </c>
    </row>
    <row r="19" spans="1:28" x14ac:dyDescent="0.35">
      <c r="A19" s="4" t="s">
        <v>68</v>
      </c>
      <c r="B19" s="4" t="s">
        <v>23</v>
      </c>
      <c r="C19" s="4" t="s">
        <v>3</v>
      </c>
      <c r="D19" s="3">
        <v>100000874</v>
      </c>
      <c r="E19" s="4" t="s">
        <v>131</v>
      </c>
      <c r="F19" s="4" t="s">
        <v>132</v>
      </c>
      <c r="G19" s="48">
        <v>46171</v>
      </c>
      <c r="H19" s="3">
        <v>40069</v>
      </c>
      <c r="I19" s="4" t="s">
        <v>133</v>
      </c>
      <c r="J19" s="3">
        <v>29222990</v>
      </c>
      <c r="K19" s="4" t="s">
        <v>134</v>
      </c>
      <c r="L19" s="3">
        <v>11199289</v>
      </c>
      <c r="M19" s="3">
        <v>801154484</v>
      </c>
      <c r="N19" s="3">
        <v>901369072</v>
      </c>
      <c r="O19" s="25">
        <v>1000</v>
      </c>
      <c r="P19" s="25">
        <v>1000</v>
      </c>
      <c r="Q19" s="30">
        <v>1710</v>
      </c>
      <c r="R19" s="26">
        <v>1710000</v>
      </c>
      <c r="S19" s="26">
        <v>307800</v>
      </c>
      <c r="T19" s="26">
        <v>2017800</v>
      </c>
      <c r="U19" s="40" t="s">
        <v>39</v>
      </c>
      <c r="V19" s="40" t="s">
        <v>41</v>
      </c>
      <c r="W19" s="40" t="s">
        <v>135</v>
      </c>
      <c r="X19" s="40" t="s">
        <v>41</v>
      </c>
      <c r="Y19" s="10" t="s">
        <v>140</v>
      </c>
      <c r="Z19" s="24">
        <v>46112</v>
      </c>
      <c r="AA19" s="24">
        <v>46446</v>
      </c>
      <c r="AB19" s="4" t="s">
        <v>41</v>
      </c>
    </row>
    <row r="20" spans="1:28" x14ac:dyDescent="0.35">
      <c r="A20" s="4" t="s">
        <v>35</v>
      </c>
      <c r="B20" s="4" t="s">
        <v>23</v>
      </c>
      <c r="C20" s="4" t="s">
        <v>1</v>
      </c>
      <c r="D20" s="3">
        <v>100000694</v>
      </c>
      <c r="E20" s="4" t="s">
        <v>141</v>
      </c>
      <c r="F20" s="4" t="s">
        <v>142</v>
      </c>
      <c r="G20" s="24">
        <v>46172</v>
      </c>
      <c r="H20" s="3">
        <v>40008</v>
      </c>
      <c r="I20" s="4" t="s">
        <v>143</v>
      </c>
      <c r="J20" s="3">
        <v>29051100</v>
      </c>
      <c r="K20" s="4" t="s">
        <v>38</v>
      </c>
      <c r="L20" s="3">
        <v>11199807</v>
      </c>
      <c r="M20" s="3">
        <v>801154887</v>
      </c>
      <c r="N20" s="3">
        <v>901369655</v>
      </c>
      <c r="O20" s="25">
        <v>10440</v>
      </c>
      <c r="P20" s="25">
        <v>10440</v>
      </c>
      <c r="Q20" s="54">
        <v>26</v>
      </c>
      <c r="R20" s="26">
        <v>271439.8</v>
      </c>
      <c r="S20" s="26">
        <v>48859.199999999997</v>
      </c>
      <c r="T20" s="26">
        <v>320299</v>
      </c>
      <c r="U20" s="4" t="s">
        <v>39</v>
      </c>
      <c r="V20" s="3">
        <v>21</v>
      </c>
      <c r="W20" s="4" t="s">
        <v>144</v>
      </c>
      <c r="X20" s="4" t="s">
        <v>41</v>
      </c>
      <c r="Y20" s="4" t="s">
        <v>144</v>
      </c>
      <c r="Z20" s="24">
        <v>46168</v>
      </c>
      <c r="AA20" s="24">
        <v>46534</v>
      </c>
      <c r="AB20" s="27"/>
    </row>
    <row r="21" spans="1:28" x14ac:dyDescent="0.35">
      <c r="A21" s="4" t="s">
        <v>68</v>
      </c>
      <c r="B21" s="4" t="s">
        <v>147</v>
      </c>
      <c r="C21" s="4" t="s">
        <v>69</v>
      </c>
      <c r="D21" s="3">
        <v>100000946</v>
      </c>
      <c r="E21" s="4" t="s">
        <v>72</v>
      </c>
      <c r="F21" s="4" t="s">
        <v>148</v>
      </c>
      <c r="G21" s="24">
        <v>46175</v>
      </c>
      <c r="H21" s="3">
        <v>40050</v>
      </c>
      <c r="I21" s="4" t="s">
        <v>70</v>
      </c>
      <c r="J21" s="3">
        <v>28539090</v>
      </c>
      <c r="K21" s="50">
        <v>5210012384</v>
      </c>
      <c r="L21" s="3">
        <v>11200594</v>
      </c>
      <c r="M21" s="3">
        <v>801155691</v>
      </c>
      <c r="N21" s="3">
        <v>901370789</v>
      </c>
      <c r="O21" s="30">
        <v>3029018</v>
      </c>
      <c r="P21" s="30">
        <v>3029018</v>
      </c>
      <c r="Q21" s="30">
        <v>3.2499999867944003</v>
      </c>
      <c r="R21" s="30">
        <v>9844308.4600000009</v>
      </c>
      <c r="S21" s="30">
        <v>1771975.54</v>
      </c>
      <c r="T21" s="30">
        <v>11616284</v>
      </c>
      <c r="U21" s="4" t="s">
        <v>39</v>
      </c>
      <c r="V21" s="4" t="s">
        <v>41</v>
      </c>
      <c r="W21" s="4" t="s">
        <v>83</v>
      </c>
      <c r="X21" s="4" t="s">
        <v>41</v>
      </c>
      <c r="Y21" s="4" t="s">
        <v>41</v>
      </c>
      <c r="Z21" s="24"/>
      <c r="AA21" s="24"/>
      <c r="AB21" s="4" t="s">
        <v>41</v>
      </c>
    </row>
    <row r="22" spans="1:28" x14ac:dyDescent="0.35">
      <c r="A22" s="4" t="s">
        <v>35</v>
      </c>
      <c r="B22" s="4" t="s">
        <v>147</v>
      </c>
      <c r="C22" s="4" t="s">
        <v>3</v>
      </c>
      <c r="D22" s="3">
        <v>151000003</v>
      </c>
      <c r="E22" s="4" t="s">
        <v>149</v>
      </c>
      <c r="F22" s="4" t="s">
        <v>132</v>
      </c>
      <c r="G22" s="24">
        <v>46176</v>
      </c>
      <c r="H22" s="3">
        <v>40066</v>
      </c>
      <c r="I22" s="4" t="s">
        <v>150</v>
      </c>
      <c r="J22" s="3">
        <v>84818030</v>
      </c>
      <c r="K22" s="4" t="s">
        <v>38</v>
      </c>
      <c r="L22" s="3">
        <v>11200857</v>
      </c>
      <c r="M22" s="3">
        <v>801156076</v>
      </c>
      <c r="N22" s="3">
        <v>901371311</v>
      </c>
      <c r="O22" s="30">
        <v>12410</v>
      </c>
      <c r="P22" s="30">
        <v>12410</v>
      </c>
      <c r="Q22" s="30">
        <v>20</v>
      </c>
      <c r="R22" s="30">
        <v>248200</v>
      </c>
      <c r="S22" s="30">
        <v>44676</v>
      </c>
      <c r="T22" s="30">
        <v>292876</v>
      </c>
      <c r="U22" s="4" t="s">
        <v>39</v>
      </c>
      <c r="V22" s="3">
        <v>215</v>
      </c>
      <c r="W22" s="4" t="s">
        <v>151</v>
      </c>
      <c r="X22" s="4" t="s">
        <v>41</v>
      </c>
      <c r="Y22" s="4" t="s">
        <v>152</v>
      </c>
      <c r="Z22" s="24"/>
      <c r="AA22" s="24"/>
      <c r="AB22" s="4" t="s">
        <v>41</v>
      </c>
    </row>
    <row r="23" spans="1:28" x14ac:dyDescent="0.35">
      <c r="A23" s="4" t="s">
        <v>35</v>
      </c>
      <c r="B23" s="4" t="s">
        <v>147</v>
      </c>
      <c r="C23" s="4" t="s">
        <v>1</v>
      </c>
      <c r="D23" s="3">
        <v>151000012</v>
      </c>
      <c r="E23" s="4" t="s">
        <v>47</v>
      </c>
      <c r="F23" s="4" t="s">
        <v>153</v>
      </c>
      <c r="G23" s="24">
        <v>46179</v>
      </c>
      <c r="H23" s="3">
        <v>40058</v>
      </c>
      <c r="I23" s="4" t="s">
        <v>43</v>
      </c>
      <c r="J23" s="3">
        <v>38140010</v>
      </c>
      <c r="K23" s="4" t="s">
        <v>38</v>
      </c>
      <c r="L23" s="3">
        <v>11201530</v>
      </c>
      <c r="M23" s="3">
        <v>801156606</v>
      </c>
      <c r="N23" s="3">
        <v>901372140</v>
      </c>
      <c r="O23" s="30">
        <v>11830</v>
      </c>
      <c r="P23" s="30">
        <v>11830</v>
      </c>
      <c r="Q23" s="30">
        <v>3.5000084530853761</v>
      </c>
      <c r="R23" s="30">
        <v>41405.1</v>
      </c>
      <c r="S23" s="30">
        <v>7452.9</v>
      </c>
      <c r="T23" s="30">
        <v>48858</v>
      </c>
      <c r="U23" s="4" t="s">
        <v>39</v>
      </c>
      <c r="V23" s="4" t="s">
        <v>154</v>
      </c>
      <c r="W23" s="4" t="s">
        <v>155</v>
      </c>
      <c r="X23" s="4" t="s">
        <v>41</v>
      </c>
      <c r="Y23" s="4" t="s">
        <v>112</v>
      </c>
      <c r="Z23" s="24"/>
      <c r="AA23" s="24"/>
      <c r="AB23" s="4" t="s">
        <v>41</v>
      </c>
    </row>
    <row r="24" spans="1:28" x14ac:dyDescent="0.35">
      <c r="A24" s="4" t="s">
        <v>35</v>
      </c>
      <c r="B24" s="4" t="s">
        <v>147</v>
      </c>
      <c r="C24" s="4" t="s">
        <v>159</v>
      </c>
      <c r="D24" s="3">
        <v>310007748</v>
      </c>
      <c r="E24" s="4" t="s">
        <v>160</v>
      </c>
      <c r="F24" s="4" t="s">
        <v>161</v>
      </c>
      <c r="G24" s="24">
        <v>46184</v>
      </c>
      <c r="H24" s="3">
        <v>40070</v>
      </c>
      <c r="I24" s="4" t="s">
        <v>162</v>
      </c>
      <c r="J24" s="3">
        <v>84818030</v>
      </c>
      <c r="K24" s="4" t="s">
        <v>163</v>
      </c>
      <c r="L24" s="3">
        <v>11202874</v>
      </c>
      <c r="M24" s="3">
        <v>801157980</v>
      </c>
      <c r="N24" s="3">
        <v>901374480</v>
      </c>
      <c r="O24" s="30">
        <v>2</v>
      </c>
      <c r="P24" s="25">
        <v>2</v>
      </c>
      <c r="Q24" s="30">
        <v>2000000</v>
      </c>
      <c r="R24" s="30">
        <v>4000000</v>
      </c>
      <c r="S24" s="30">
        <v>720000</v>
      </c>
      <c r="T24" s="30">
        <v>4720000</v>
      </c>
      <c r="U24" s="4" t="s">
        <v>39</v>
      </c>
      <c r="V24" s="4" t="s">
        <v>41</v>
      </c>
      <c r="W24" s="4" t="s">
        <v>164</v>
      </c>
      <c r="X24" s="4" t="s">
        <v>41</v>
      </c>
      <c r="Y24" s="4" t="s">
        <v>41</v>
      </c>
      <c r="Z24" s="24"/>
      <c r="AA24" s="24"/>
      <c r="AB24" s="4" t="s">
        <v>41</v>
      </c>
    </row>
    <row r="25" spans="1:28" x14ac:dyDescent="0.35">
      <c r="A25" s="4" t="s">
        <v>35</v>
      </c>
      <c r="B25" s="4" t="s">
        <v>147</v>
      </c>
      <c r="C25" s="4" t="s">
        <v>165</v>
      </c>
      <c r="D25" s="3">
        <v>310007748</v>
      </c>
      <c r="E25" s="4" t="s">
        <v>160</v>
      </c>
      <c r="F25" s="4" t="s">
        <v>166</v>
      </c>
      <c r="G25" s="24">
        <v>46184</v>
      </c>
      <c r="H25" s="3">
        <v>40070</v>
      </c>
      <c r="I25" s="4" t="s">
        <v>162</v>
      </c>
      <c r="J25" s="3">
        <v>84818030</v>
      </c>
      <c r="K25" s="4" t="s">
        <v>163</v>
      </c>
      <c r="L25" s="3">
        <v>11203103</v>
      </c>
      <c r="M25" s="3">
        <v>801158239</v>
      </c>
      <c r="N25" s="3">
        <v>901374876</v>
      </c>
      <c r="O25" s="30">
        <v>1</v>
      </c>
      <c r="P25" s="25">
        <v>1</v>
      </c>
      <c r="Q25" s="30">
        <v>2000000</v>
      </c>
      <c r="R25" s="30">
        <v>2000000</v>
      </c>
      <c r="S25" s="30">
        <v>360000</v>
      </c>
      <c r="T25" s="30">
        <v>2360000</v>
      </c>
      <c r="U25" s="4" t="s">
        <v>39</v>
      </c>
      <c r="V25" s="4" t="s">
        <v>41</v>
      </c>
      <c r="W25" s="4" t="s">
        <v>164</v>
      </c>
      <c r="X25" s="4" t="s">
        <v>41</v>
      </c>
      <c r="Y25" s="4" t="s">
        <v>41</v>
      </c>
      <c r="Z25" s="24"/>
      <c r="AA25" s="24"/>
      <c r="AB25" s="4" t="s">
        <v>41</v>
      </c>
    </row>
    <row r="26" spans="1:28" x14ac:dyDescent="0.35">
      <c r="A26" s="4" t="s">
        <v>35</v>
      </c>
      <c r="B26" s="4" t="s">
        <v>147</v>
      </c>
      <c r="C26" s="4" t="s">
        <v>159</v>
      </c>
      <c r="D26" s="3">
        <v>310007882</v>
      </c>
      <c r="E26" s="4" t="s">
        <v>167</v>
      </c>
      <c r="F26" s="4" t="s">
        <v>168</v>
      </c>
      <c r="G26" s="24">
        <v>46192</v>
      </c>
      <c r="H26" s="3">
        <v>40070</v>
      </c>
      <c r="I26" s="4" t="s">
        <v>162</v>
      </c>
      <c r="J26" s="3">
        <v>84818030</v>
      </c>
      <c r="K26" s="4" t="s">
        <v>163</v>
      </c>
      <c r="L26" s="3">
        <v>11205934</v>
      </c>
      <c r="M26" s="3">
        <v>801161321</v>
      </c>
      <c r="N26" s="3">
        <v>901380063</v>
      </c>
      <c r="O26" s="30">
        <v>2</v>
      </c>
      <c r="P26" s="25">
        <v>2</v>
      </c>
      <c r="Q26" s="30">
        <v>1666666.94</v>
      </c>
      <c r="R26" s="30">
        <v>3333333.88</v>
      </c>
      <c r="S26" s="30">
        <v>600000.12</v>
      </c>
      <c r="T26" s="30">
        <v>3933334</v>
      </c>
      <c r="U26" s="4" t="s">
        <v>39</v>
      </c>
      <c r="V26" s="4" t="s">
        <v>41</v>
      </c>
      <c r="W26" s="4" t="s">
        <v>169</v>
      </c>
      <c r="X26" s="4" t="s">
        <v>41</v>
      </c>
      <c r="Y26" s="4" t="s">
        <v>41</v>
      </c>
      <c r="Z26" s="24"/>
      <c r="AA26" s="24"/>
      <c r="AB26" s="4" t="s">
        <v>41</v>
      </c>
    </row>
    <row r="27" spans="1:28" x14ac:dyDescent="0.35">
      <c r="A27" s="4" t="s">
        <v>35</v>
      </c>
      <c r="B27" s="4" t="s">
        <v>147</v>
      </c>
      <c r="C27" s="4" t="s">
        <v>159</v>
      </c>
      <c r="D27" s="3">
        <v>310007886</v>
      </c>
      <c r="E27" s="4" t="s">
        <v>170</v>
      </c>
      <c r="F27" s="4" t="s">
        <v>168</v>
      </c>
      <c r="G27" s="24">
        <v>46192</v>
      </c>
      <c r="H27" s="3">
        <v>40070</v>
      </c>
      <c r="I27" s="4" t="s">
        <v>162</v>
      </c>
      <c r="J27" s="3">
        <v>84818030</v>
      </c>
      <c r="K27" s="4" t="s">
        <v>163</v>
      </c>
      <c r="L27" s="3">
        <v>11205934</v>
      </c>
      <c r="M27" s="3">
        <v>801161321</v>
      </c>
      <c r="N27" s="3">
        <v>901380063</v>
      </c>
      <c r="O27" s="30">
        <v>2</v>
      </c>
      <c r="P27" s="25">
        <v>2</v>
      </c>
      <c r="Q27" s="30">
        <v>100000</v>
      </c>
      <c r="R27" s="30">
        <v>200000</v>
      </c>
      <c r="S27" s="30">
        <v>36000</v>
      </c>
      <c r="T27" s="30">
        <v>236000</v>
      </c>
      <c r="U27" s="4" t="s">
        <v>39</v>
      </c>
      <c r="V27" s="4" t="s">
        <v>41</v>
      </c>
      <c r="W27" s="4" t="s">
        <v>169</v>
      </c>
      <c r="X27" s="4" t="s">
        <v>41</v>
      </c>
      <c r="Y27" s="4" t="s">
        <v>41</v>
      </c>
      <c r="Z27" s="24"/>
      <c r="AA27" s="24"/>
      <c r="AB27" s="4" t="s">
        <v>41</v>
      </c>
    </row>
    <row r="28" spans="1:28" x14ac:dyDescent="0.35">
      <c r="A28" s="4" t="s">
        <v>35</v>
      </c>
      <c r="B28" s="4" t="s">
        <v>147</v>
      </c>
      <c r="C28" s="4" t="s">
        <v>1</v>
      </c>
      <c r="D28" s="3">
        <v>310007882</v>
      </c>
      <c r="E28" s="4" t="s">
        <v>167</v>
      </c>
      <c r="F28" s="4" t="s">
        <v>171</v>
      </c>
      <c r="G28" s="24">
        <v>46192</v>
      </c>
      <c r="H28" s="3">
        <v>40070</v>
      </c>
      <c r="I28" s="4" t="s">
        <v>162</v>
      </c>
      <c r="J28" s="3">
        <v>84818030</v>
      </c>
      <c r="K28" s="4" t="s">
        <v>163</v>
      </c>
      <c r="L28" s="3">
        <v>11205946</v>
      </c>
      <c r="M28" s="3">
        <v>801161341</v>
      </c>
      <c r="N28" s="3">
        <v>901380104</v>
      </c>
      <c r="O28" s="30">
        <v>1</v>
      </c>
      <c r="P28" s="25">
        <v>1</v>
      </c>
      <c r="Q28" s="30">
        <v>1666666.94</v>
      </c>
      <c r="R28" s="30">
        <v>1666666.94</v>
      </c>
      <c r="S28" s="30">
        <v>300000.06</v>
      </c>
      <c r="T28" s="30">
        <v>1966667</v>
      </c>
      <c r="U28" s="4" t="s">
        <v>39</v>
      </c>
      <c r="V28" s="4" t="s">
        <v>41</v>
      </c>
      <c r="W28" s="4" t="s">
        <v>169</v>
      </c>
      <c r="X28" s="4" t="s">
        <v>41</v>
      </c>
      <c r="Y28" s="4" t="s">
        <v>41</v>
      </c>
      <c r="Z28" s="24"/>
      <c r="AA28" s="24"/>
      <c r="AB28" s="4" t="s">
        <v>41</v>
      </c>
    </row>
    <row r="29" spans="1:28" x14ac:dyDescent="0.35">
      <c r="A29" s="4" t="s">
        <v>35</v>
      </c>
      <c r="B29" s="4" t="s">
        <v>147</v>
      </c>
      <c r="C29" s="4" t="s">
        <v>1</v>
      </c>
      <c r="D29" s="3">
        <v>310007886</v>
      </c>
      <c r="E29" s="4" t="s">
        <v>170</v>
      </c>
      <c r="F29" s="4" t="s">
        <v>171</v>
      </c>
      <c r="G29" s="24">
        <v>46192</v>
      </c>
      <c r="H29" s="3">
        <v>40070</v>
      </c>
      <c r="I29" s="4" t="s">
        <v>162</v>
      </c>
      <c r="J29" s="3">
        <v>84818030</v>
      </c>
      <c r="K29" s="4" t="s">
        <v>163</v>
      </c>
      <c r="L29" s="3">
        <v>11205946</v>
      </c>
      <c r="M29" s="3">
        <v>801161341</v>
      </c>
      <c r="N29" s="3">
        <v>901380104</v>
      </c>
      <c r="O29" s="30">
        <v>1</v>
      </c>
      <c r="P29" s="25">
        <v>1</v>
      </c>
      <c r="Q29" s="30">
        <v>100000</v>
      </c>
      <c r="R29" s="30">
        <v>100000</v>
      </c>
      <c r="S29" s="30">
        <v>18000</v>
      </c>
      <c r="T29" s="30">
        <v>118000</v>
      </c>
      <c r="U29" s="4" t="s">
        <v>39</v>
      </c>
      <c r="V29" s="4" t="s">
        <v>41</v>
      </c>
      <c r="W29" s="4" t="s">
        <v>169</v>
      </c>
      <c r="X29" s="4" t="s">
        <v>41</v>
      </c>
      <c r="Y29" s="4" t="s">
        <v>41</v>
      </c>
      <c r="Z29" s="24"/>
      <c r="AA29" s="24"/>
      <c r="AB29" s="4" t="s">
        <v>41</v>
      </c>
    </row>
  </sheetData>
  <autoFilter ref="A4:AB20" xr:uid="{520AB070-314A-441B-A7F3-E88FD1578139}"/>
  <mergeCells count="1">
    <mergeCell ref="A1:P1"/>
  </mergeCells>
  <conditionalFormatting sqref="O4:Q4">
    <cfRule type="duplicateValues" dxfId="2" priority="1" stopIfTrue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81D50-D279-427A-9D8F-59AE9A520DF4}">
  <dimension ref="A1:AB18"/>
  <sheetViews>
    <sheetView zoomScale="80" zoomScaleNormal="80" workbookViewId="0">
      <pane xSplit="7" ySplit="4" topLeftCell="P5" activePane="bottomRight" state="frozen"/>
      <selection activeCell="A2" sqref="A2"/>
      <selection pane="topRight" activeCell="H2" sqref="H2"/>
      <selection pane="bottomLeft" activeCell="A3" sqref="A3"/>
      <selection pane="bottomRight" activeCell="N3" sqref="N3"/>
    </sheetView>
  </sheetViews>
  <sheetFormatPr defaultColWidth="8.90625" defaultRowHeight="14.5" x14ac:dyDescent="0.35"/>
  <cols>
    <col min="1" max="1" width="13.81640625" bestFit="1" customWidth="1"/>
    <col min="2" max="2" width="12.6328125" bestFit="1" customWidth="1"/>
    <col min="3" max="3" width="11.08984375" bestFit="1" customWidth="1"/>
    <col min="4" max="4" width="13.81640625" style="9" bestFit="1" customWidth="1"/>
    <col min="5" max="5" width="27.1796875" bestFit="1" customWidth="1"/>
    <col min="6" max="6" width="18.1796875" style="1" bestFit="1" customWidth="1"/>
    <col min="7" max="7" width="16.26953125" style="9" bestFit="1" customWidth="1"/>
    <col min="8" max="8" width="15" style="1" bestFit="1" customWidth="1"/>
    <col min="9" max="9" width="59.6328125" bestFit="1" customWidth="1"/>
    <col min="10" max="10" width="15" bestFit="1" customWidth="1"/>
    <col min="11" max="11" width="16.7265625" style="1" bestFit="1" customWidth="1"/>
    <col min="12" max="12" width="14.7265625" bestFit="1" customWidth="1"/>
    <col min="13" max="13" width="13.36328125" bestFit="1" customWidth="1"/>
    <col min="14" max="14" width="12.90625" bestFit="1" customWidth="1"/>
    <col min="15" max="15" width="19.453125" bestFit="1" customWidth="1"/>
    <col min="16" max="16" width="16.7265625" bestFit="1" customWidth="1"/>
    <col min="17" max="17" width="10.54296875" bestFit="1" customWidth="1"/>
    <col min="18" max="18" width="15.54296875" bestFit="1" customWidth="1"/>
    <col min="19" max="19" width="11.453125" bestFit="1" customWidth="1"/>
    <col min="20" max="20" width="8.81640625" bestFit="1" customWidth="1"/>
    <col min="21" max="21" width="20.54296875" bestFit="1" customWidth="1"/>
    <col min="22" max="22" width="9.26953125" bestFit="1" customWidth="1"/>
    <col min="23" max="23" width="12.81640625" bestFit="1" customWidth="1"/>
    <col min="24" max="24" width="9.08984375" bestFit="1" customWidth="1"/>
    <col min="25" max="25" width="11.81640625" bestFit="1" customWidth="1"/>
    <col min="26" max="26" width="9.54296875" bestFit="1" customWidth="1"/>
    <col min="27" max="27" width="8.54296875" bestFit="1" customWidth="1"/>
    <col min="28" max="28" width="11.453125" bestFit="1" customWidth="1"/>
  </cols>
  <sheetData>
    <row r="1" spans="1:28" ht="55.75" customHeight="1" x14ac:dyDescent="0.35">
      <c r="A1" s="70" t="s">
        <v>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1:28" ht="55.75" customHeight="1" x14ac:dyDescent="0.35">
      <c r="D2"/>
      <c r="F2"/>
      <c r="G2"/>
      <c r="H2"/>
      <c r="K2"/>
      <c r="P2" s="12">
        <f>P3/1000</f>
        <v>407.88</v>
      </c>
      <c r="Q2" s="12"/>
      <c r="R2" s="12">
        <f>R3/100000</f>
        <v>0.37954600000000005</v>
      </c>
    </row>
    <row r="3" spans="1:28" ht="55.75" customHeight="1" thickBot="1" x14ac:dyDescent="0.4">
      <c r="D3"/>
      <c r="F3"/>
      <c r="G3"/>
      <c r="H3"/>
      <c r="K3"/>
      <c r="P3">
        <f>SUBTOTAL(9,P5:P18)</f>
        <v>407880</v>
      </c>
      <c r="R3">
        <f>SUBTOTAL(9,R5:R18)</f>
        <v>37954.600000000006</v>
      </c>
    </row>
    <row r="4" spans="1:28" s="10" customFormat="1" ht="15" thickBot="1" x14ac:dyDescent="0.4">
      <c r="A4" s="64" t="s">
        <v>25</v>
      </c>
      <c r="B4" s="64" t="s">
        <v>17</v>
      </c>
      <c r="C4" s="64" t="s">
        <v>26</v>
      </c>
      <c r="D4" s="64" t="s">
        <v>11</v>
      </c>
      <c r="E4" s="64" t="s">
        <v>12</v>
      </c>
      <c r="F4" s="64" t="s">
        <v>9</v>
      </c>
      <c r="G4" s="64" t="s">
        <v>10</v>
      </c>
      <c r="H4" s="64" t="s">
        <v>7</v>
      </c>
      <c r="I4" s="64" t="s">
        <v>8</v>
      </c>
      <c r="J4" s="64" t="s">
        <v>91</v>
      </c>
      <c r="K4" s="64" t="s">
        <v>27</v>
      </c>
      <c r="L4" s="64" t="s">
        <v>14</v>
      </c>
      <c r="M4" s="64" t="s">
        <v>15</v>
      </c>
      <c r="N4" s="64" t="s">
        <v>92</v>
      </c>
      <c r="O4" s="64" t="s">
        <v>13</v>
      </c>
      <c r="P4" s="19" t="s">
        <v>28</v>
      </c>
      <c r="Q4" s="19" t="s">
        <v>6</v>
      </c>
      <c r="R4" s="19" t="s">
        <v>29</v>
      </c>
      <c r="S4" s="19" t="s">
        <v>30</v>
      </c>
      <c r="T4" s="19" t="s">
        <v>31</v>
      </c>
      <c r="U4" s="19" t="s">
        <v>32</v>
      </c>
      <c r="V4" s="19" t="s">
        <v>33</v>
      </c>
      <c r="W4" s="19" t="s">
        <v>34</v>
      </c>
      <c r="X4" s="19" t="s">
        <v>0</v>
      </c>
      <c r="Y4" s="19" t="s">
        <v>93</v>
      </c>
      <c r="Z4" s="19" t="s">
        <v>94</v>
      </c>
      <c r="AA4" s="19" t="s">
        <v>95</v>
      </c>
      <c r="AB4" s="20" t="s">
        <v>96</v>
      </c>
    </row>
    <row r="5" spans="1:28" x14ac:dyDescent="0.35">
      <c r="A5" s="17" t="s">
        <v>35</v>
      </c>
      <c r="B5" s="17" t="s">
        <v>36</v>
      </c>
      <c r="C5" s="17" t="s">
        <v>1</v>
      </c>
      <c r="D5" s="21">
        <v>151000015</v>
      </c>
      <c r="E5" s="17" t="s">
        <v>16</v>
      </c>
      <c r="F5" s="17" t="s">
        <v>37</v>
      </c>
      <c r="G5" s="17" t="s">
        <v>97</v>
      </c>
      <c r="H5" s="21">
        <v>40054</v>
      </c>
      <c r="I5" s="17" t="s">
        <v>20</v>
      </c>
      <c r="J5" s="21">
        <v>28070010</v>
      </c>
      <c r="K5" s="17" t="s">
        <v>38</v>
      </c>
      <c r="L5" s="21">
        <v>11190895</v>
      </c>
      <c r="M5" s="21">
        <v>801146082</v>
      </c>
      <c r="N5" s="21">
        <v>901346670</v>
      </c>
      <c r="O5" s="22">
        <v>33630</v>
      </c>
      <c r="P5" s="22">
        <v>33630</v>
      </c>
      <c r="Q5" s="22">
        <v>9.999524234314601E-2</v>
      </c>
      <c r="R5" s="22">
        <v>3362.84</v>
      </c>
      <c r="S5" s="21">
        <v>168.16</v>
      </c>
      <c r="T5" s="22">
        <v>3531</v>
      </c>
      <c r="U5" s="17" t="s">
        <v>39</v>
      </c>
      <c r="V5" s="21">
        <v>7</v>
      </c>
      <c r="W5" s="17" t="s">
        <v>40</v>
      </c>
      <c r="X5" s="17" t="s">
        <v>41</v>
      </c>
      <c r="Y5" s="17" t="s">
        <v>98</v>
      </c>
      <c r="Z5" s="17" t="s">
        <v>41</v>
      </c>
      <c r="AA5" s="17" t="s">
        <v>41</v>
      </c>
      <c r="AB5" s="17" t="s">
        <v>41</v>
      </c>
    </row>
    <row r="6" spans="1:28" x14ac:dyDescent="0.35">
      <c r="A6" s="4" t="s">
        <v>35</v>
      </c>
      <c r="B6" s="4" t="s">
        <v>36</v>
      </c>
      <c r="C6" s="4" t="s">
        <v>1</v>
      </c>
      <c r="D6" s="3">
        <v>151000013</v>
      </c>
      <c r="E6" s="4" t="s">
        <v>18</v>
      </c>
      <c r="F6" s="4" t="s">
        <v>42</v>
      </c>
      <c r="G6" s="4" t="s">
        <v>99</v>
      </c>
      <c r="H6" s="3">
        <v>40058</v>
      </c>
      <c r="I6" s="4" t="s">
        <v>43</v>
      </c>
      <c r="J6" s="3">
        <v>84818030</v>
      </c>
      <c r="K6" s="4" t="s">
        <v>38</v>
      </c>
      <c r="L6" s="3">
        <v>11190903</v>
      </c>
      <c r="M6" s="3">
        <v>801146090</v>
      </c>
      <c r="N6" s="3">
        <v>901346688</v>
      </c>
      <c r="O6" s="23">
        <v>20420</v>
      </c>
      <c r="P6" s="23">
        <v>20420</v>
      </c>
      <c r="Q6" s="22">
        <v>0.10002154750244859</v>
      </c>
      <c r="R6" s="23">
        <v>2042.44</v>
      </c>
      <c r="S6" s="3">
        <v>367.56</v>
      </c>
      <c r="T6" s="23">
        <v>2410</v>
      </c>
      <c r="U6" s="4" t="s">
        <v>39</v>
      </c>
      <c r="V6" s="4" t="s">
        <v>41</v>
      </c>
      <c r="W6" s="4" t="s">
        <v>44</v>
      </c>
      <c r="X6" s="4" t="s">
        <v>41</v>
      </c>
      <c r="Y6" s="4" t="s">
        <v>100</v>
      </c>
      <c r="Z6" s="4" t="s">
        <v>41</v>
      </c>
      <c r="AA6" s="4" t="s">
        <v>41</v>
      </c>
      <c r="AB6" s="4" t="s">
        <v>41</v>
      </c>
    </row>
    <row r="7" spans="1:28" x14ac:dyDescent="0.35">
      <c r="A7" s="4" t="s">
        <v>35</v>
      </c>
      <c r="B7" s="4" t="s">
        <v>36</v>
      </c>
      <c r="C7" s="4" t="s">
        <v>1</v>
      </c>
      <c r="D7" s="3">
        <v>151000015</v>
      </c>
      <c r="E7" s="4" t="s">
        <v>16</v>
      </c>
      <c r="F7" s="4" t="s">
        <v>45</v>
      </c>
      <c r="G7" s="4" t="s">
        <v>101</v>
      </c>
      <c r="H7" s="3">
        <v>40046</v>
      </c>
      <c r="I7" s="4" t="s">
        <v>19</v>
      </c>
      <c r="J7" s="3">
        <v>28070010</v>
      </c>
      <c r="K7" s="4" t="s">
        <v>38</v>
      </c>
      <c r="L7" s="3">
        <v>11190912</v>
      </c>
      <c r="M7" s="3">
        <v>801146103</v>
      </c>
      <c r="N7" s="3">
        <v>901346706</v>
      </c>
      <c r="O7" s="23">
        <v>36460</v>
      </c>
      <c r="P7" s="23">
        <v>36460</v>
      </c>
      <c r="Q7" s="22">
        <v>9.9991771804717494E-2</v>
      </c>
      <c r="R7" s="23">
        <v>3645.7</v>
      </c>
      <c r="S7" s="3">
        <v>182.3</v>
      </c>
      <c r="T7" s="23">
        <v>3828</v>
      </c>
      <c r="U7" s="4" t="s">
        <v>39</v>
      </c>
      <c r="V7" s="3">
        <v>54</v>
      </c>
      <c r="W7" s="4" t="s">
        <v>46</v>
      </c>
      <c r="X7" s="4" t="s">
        <v>41</v>
      </c>
      <c r="Y7" s="4" t="s">
        <v>102</v>
      </c>
      <c r="Z7" s="4" t="s">
        <v>41</v>
      </c>
      <c r="AA7" s="4" t="s">
        <v>41</v>
      </c>
      <c r="AB7" s="4" t="s">
        <v>41</v>
      </c>
    </row>
    <row r="8" spans="1:28" x14ac:dyDescent="0.35">
      <c r="A8" s="4" t="s">
        <v>35</v>
      </c>
      <c r="B8" s="4" t="s">
        <v>36</v>
      </c>
      <c r="C8" s="4" t="s">
        <v>1</v>
      </c>
      <c r="D8" s="3">
        <v>151000013</v>
      </c>
      <c r="E8" s="4" t="s">
        <v>18</v>
      </c>
      <c r="F8" s="4" t="s">
        <v>50</v>
      </c>
      <c r="G8" s="4" t="s">
        <v>105</v>
      </c>
      <c r="H8" s="3">
        <v>40056</v>
      </c>
      <c r="I8" s="4" t="s">
        <v>24</v>
      </c>
      <c r="J8" s="3">
        <v>84818030</v>
      </c>
      <c r="K8" s="4" t="s">
        <v>38</v>
      </c>
      <c r="L8" s="3">
        <v>11190942</v>
      </c>
      <c r="M8" s="3">
        <v>801146160</v>
      </c>
      <c r="N8" s="3">
        <v>901346784</v>
      </c>
      <c r="O8" s="23">
        <v>21030</v>
      </c>
      <c r="P8" s="23">
        <v>21030</v>
      </c>
      <c r="Q8" s="22">
        <v>0.10002187351402758</v>
      </c>
      <c r="R8" s="23">
        <v>2103.46</v>
      </c>
      <c r="S8" s="3">
        <v>378.54</v>
      </c>
      <c r="T8" s="23">
        <v>2482</v>
      </c>
      <c r="U8" s="4" t="s">
        <v>39</v>
      </c>
      <c r="V8" s="4" t="s">
        <v>41</v>
      </c>
      <c r="W8" s="4" t="s">
        <v>51</v>
      </c>
      <c r="X8" s="4" t="s">
        <v>41</v>
      </c>
      <c r="Y8" s="4" t="s">
        <v>100</v>
      </c>
      <c r="Z8" s="4" t="s">
        <v>41</v>
      </c>
      <c r="AA8" s="4" t="s">
        <v>41</v>
      </c>
      <c r="AB8" s="4" t="s">
        <v>41</v>
      </c>
    </row>
    <row r="9" spans="1:28" x14ac:dyDescent="0.35">
      <c r="A9" s="4" t="s">
        <v>35</v>
      </c>
      <c r="B9" s="4" t="s">
        <v>36</v>
      </c>
      <c r="C9" s="4" t="s">
        <v>1</v>
      </c>
      <c r="D9" s="3">
        <v>151000013</v>
      </c>
      <c r="E9" s="4" t="s">
        <v>18</v>
      </c>
      <c r="F9" s="4" t="s">
        <v>52</v>
      </c>
      <c r="G9" s="4" t="s">
        <v>105</v>
      </c>
      <c r="H9" s="3">
        <v>40056</v>
      </c>
      <c r="I9" s="4" t="s">
        <v>24</v>
      </c>
      <c r="J9" s="3">
        <v>84818030</v>
      </c>
      <c r="K9" s="4" t="s">
        <v>38</v>
      </c>
      <c r="L9" s="3">
        <v>11191011</v>
      </c>
      <c r="M9" s="3">
        <v>801146195</v>
      </c>
      <c r="N9" s="3">
        <v>901346832</v>
      </c>
      <c r="O9" s="23">
        <v>31010</v>
      </c>
      <c r="P9" s="23">
        <v>31010</v>
      </c>
      <c r="Q9" s="22">
        <v>9.9994195420831988E-2</v>
      </c>
      <c r="R9" s="23">
        <v>3100.82</v>
      </c>
      <c r="S9" s="3">
        <v>558.17999999999995</v>
      </c>
      <c r="T9" s="23">
        <v>3659</v>
      </c>
      <c r="U9" s="4" t="s">
        <v>39</v>
      </c>
      <c r="V9" s="4" t="s">
        <v>41</v>
      </c>
      <c r="W9" s="4" t="s">
        <v>53</v>
      </c>
      <c r="X9" s="4" t="s">
        <v>41</v>
      </c>
      <c r="Y9" s="4" t="s">
        <v>106</v>
      </c>
      <c r="Z9" s="4" t="s">
        <v>41</v>
      </c>
      <c r="AA9" s="4" t="s">
        <v>41</v>
      </c>
      <c r="AB9" s="4" t="s">
        <v>41</v>
      </c>
    </row>
    <row r="10" spans="1:28" x14ac:dyDescent="0.35">
      <c r="A10" s="4" t="s">
        <v>35</v>
      </c>
      <c r="B10" s="4" t="s">
        <v>36</v>
      </c>
      <c r="C10" s="4" t="s">
        <v>1</v>
      </c>
      <c r="D10" s="3">
        <v>151000015</v>
      </c>
      <c r="E10" s="4" t="s">
        <v>16</v>
      </c>
      <c r="F10" s="4" t="s">
        <v>54</v>
      </c>
      <c r="G10" s="4" t="s">
        <v>107</v>
      </c>
      <c r="H10" s="3">
        <v>40046</v>
      </c>
      <c r="I10" s="4" t="s">
        <v>19</v>
      </c>
      <c r="J10" s="3">
        <v>28070010</v>
      </c>
      <c r="K10" s="4" t="s">
        <v>38</v>
      </c>
      <c r="L10" s="3">
        <v>11191050</v>
      </c>
      <c r="M10" s="3">
        <v>801146239</v>
      </c>
      <c r="N10" s="3">
        <v>901346894</v>
      </c>
      <c r="O10" s="23">
        <v>31490</v>
      </c>
      <c r="P10" s="23">
        <v>31490</v>
      </c>
      <c r="Q10" s="22">
        <v>1.0011432200698634E-2</v>
      </c>
      <c r="R10" s="3">
        <v>315.26</v>
      </c>
      <c r="S10" s="3">
        <v>15.74</v>
      </c>
      <c r="T10" s="3">
        <v>331</v>
      </c>
      <c r="U10" s="4" t="s">
        <v>39</v>
      </c>
      <c r="V10" s="3">
        <v>12</v>
      </c>
      <c r="W10" s="4" t="s">
        <v>55</v>
      </c>
      <c r="X10" s="4" t="s">
        <v>41</v>
      </c>
      <c r="Y10" s="4" t="s">
        <v>108</v>
      </c>
      <c r="Z10" s="4" t="s">
        <v>41</v>
      </c>
      <c r="AA10" s="4" t="s">
        <v>41</v>
      </c>
      <c r="AB10" s="4" t="s">
        <v>41</v>
      </c>
    </row>
    <row r="11" spans="1:28" x14ac:dyDescent="0.35">
      <c r="A11" s="4" t="s">
        <v>35</v>
      </c>
      <c r="B11" s="4" t="s">
        <v>36</v>
      </c>
      <c r="C11" s="4" t="s">
        <v>1</v>
      </c>
      <c r="D11" s="3">
        <v>151000015</v>
      </c>
      <c r="E11" s="4" t="s">
        <v>16</v>
      </c>
      <c r="F11" s="4" t="s">
        <v>61</v>
      </c>
      <c r="G11" s="4" t="s">
        <v>113</v>
      </c>
      <c r="H11" s="3">
        <v>40046</v>
      </c>
      <c r="I11" s="4" t="s">
        <v>19</v>
      </c>
      <c r="J11" s="3">
        <v>28070010</v>
      </c>
      <c r="K11" s="4" t="s">
        <v>38</v>
      </c>
      <c r="L11" s="3">
        <v>11192606</v>
      </c>
      <c r="M11" s="3">
        <v>801147790</v>
      </c>
      <c r="N11" s="3">
        <v>901350627</v>
      </c>
      <c r="O11" s="23">
        <v>30570</v>
      </c>
      <c r="P11" s="23">
        <v>30570</v>
      </c>
      <c r="Q11" s="22">
        <v>0.10000457965325482</v>
      </c>
      <c r="R11" s="23">
        <v>3057.14</v>
      </c>
      <c r="S11" s="3">
        <v>152.86000000000001</v>
      </c>
      <c r="T11" s="23">
        <v>3210</v>
      </c>
      <c r="U11" s="4" t="s">
        <v>39</v>
      </c>
      <c r="V11" s="3">
        <v>5</v>
      </c>
      <c r="W11" s="4" t="s">
        <v>62</v>
      </c>
      <c r="X11" s="4" t="s">
        <v>41</v>
      </c>
      <c r="Y11" s="4" t="s">
        <v>114</v>
      </c>
      <c r="Z11" s="4" t="s">
        <v>41</v>
      </c>
      <c r="AA11" s="4" t="s">
        <v>41</v>
      </c>
      <c r="AB11" s="4" t="s">
        <v>41</v>
      </c>
    </row>
    <row r="12" spans="1:28" x14ac:dyDescent="0.35">
      <c r="A12" s="4" t="s">
        <v>35</v>
      </c>
      <c r="B12" s="4" t="s">
        <v>36</v>
      </c>
      <c r="C12" s="4" t="s">
        <v>1</v>
      </c>
      <c r="D12" s="3">
        <v>151000015</v>
      </c>
      <c r="E12" s="4" t="s">
        <v>16</v>
      </c>
      <c r="F12" s="4" t="s">
        <v>63</v>
      </c>
      <c r="G12" s="4" t="s">
        <v>115</v>
      </c>
      <c r="H12" s="3">
        <v>40046</v>
      </c>
      <c r="I12" s="4" t="s">
        <v>19</v>
      </c>
      <c r="J12" s="3">
        <v>28070010</v>
      </c>
      <c r="K12" s="4" t="s">
        <v>38</v>
      </c>
      <c r="L12" s="3">
        <v>11193334</v>
      </c>
      <c r="M12" s="3">
        <v>801148635</v>
      </c>
      <c r="N12" s="3">
        <v>901352709</v>
      </c>
      <c r="O12" s="23">
        <v>30150</v>
      </c>
      <c r="P12" s="23">
        <v>30150</v>
      </c>
      <c r="Q12" s="22">
        <v>0.10000796019900497</v>
      </c>
      <c r="R12" s="23">
        <v>3015.24</v>
      </c>
      <c r="S12" s="3">
        <v>150.76</v>
      </c>
      <c r="T12" s="23">
        <v>3166</v>
      </c>
      <c r="U12" s="4" t="s">
        <v>39</v>
      </c>
      <c r="V12" s="3">
        <v>14</v>
      </c>
      <c r="W12" s="4" t="s">
        <v>21</v>
      </c>
      <c r="X12" s="4" t="s">
        <v>41</v>
      </c>
      <c r="Y12" s="4" t="s">
        <v>116</v>
      </c>
      <c r="Z12" s="4" t="s">
        <v>41</v>
      </c>
      <c r="AA12" s="4" t="s">
        <v>41</v>
      </c>
      <c r="AB12" s="4" t="s">
        <v>41</v>
      </c>
    </row>
    <row r="13" spans="1:28" x14ac:dyDescent="0.35">
      <c r="A13" s="4" t="s">
        <v>35</v>
      </c>
      <c r="B13" s="4" t="s">
        <v>23</v>
      </c>
      <c r="C13" s="4" t="s">
        <v>1</v>
      </c>
      <c r="D13" s="3">
        <v>151000013</v>
      </c>
      <c r="E13" s="4" t="s">
        <v>18</v>
      </c>
      <c r="F13" s="4" t="s">
        <v>76</v>
      </c>
      <c r="G13" s="4" t="s">
        <v>118</v>
      </c>
      <c r="H13" s="3">
        <v>40056</v>
      </c>
      <c r="I13" s="4" t="s">
        <v>24</v>
      </c>
      <c r="J13" s="3">
        <v>84818030</v>
      </c>
      <c r="K13" s="4" t="s">
        <v>38</v>
      </c>
      <c r="L13" s="3">
        <v>11193873</v>
      </c>
      <c r="M13" s="3">
        <v>801149103</v>
      </c>
      <c r="N13" s="3">
        <v>901353713</v>
      </c>
      <c r="O13" s="23">
        <v>27890</v>
      </c>
      <c r="P13" s="23">
        <v>27890</v>
      </c>
      <c r="Q13" s="22">
        <v>9.999928289709574E-2</v>
      </c>
      <c r="R13" s="23">
        <v>2788.98</v>
      </c>
      <c r="S13" s="3">
        <v>502.02</v>
      </c>
      <c r="T13" s="23">
        <v>3291</v>
      </c>
      <c r="U13" s="4" t="s">
        <v>39</v>
      </c>
      <c r="V13" s="4" t="s">
        <v>41</v>
      </c>
      <c r="W13" s="4" t="s">
        <v>82</v>
      </c>
      <c r="X13" s="4" t="s">
        <v>41</v>
      </c>
      <c r="Y13" s="4" t="s">
        <v>90</v>
      </c>
      <c r="Z13" s="4" t="s">
        <v>41</v>
      </c>
      <c r="AA13" s="4" t="s">
        <v>41</v>
      </c>
      <c r="AB13" s="4" t="s">
        <v>41</v>
      </c>
    </row>
    <row r="14" spans="1:28" x14ac:dyDescent="0.35">
      <c r="A14" s="4" t="s">
        <v>35</v>
      </c>
      <c r="B14" s="4" t="s">
        <v>23</v>
      </c>
      <c r="C14" s="4" t="s">
        <v>1</v>
      </c>
      <c r="D14" s="3">
        <v>151000015</v>
      </c>
      <c r="E14" s="4" t="s">
        <v>16</v>
      </c>
      <c r="F14" s="4" t="s">
        <v>85</v>
      </c>
      <c r="G14" s="4" t="s">
        <v>122</v>
      </c>
      <c r="H14" s="3">
        <v>40046</v>
      </c>
      <c r="I14" s="4" t="s">
        <v>19</v>
      </c>
      <c r="J14" s="3">
        <v>28070010</v>
      </c>
      <c r="K14" s="4" t="s">
        <v>38</v>
      </c>
      <c r="L14" s="3">
        <v>11195780</v>
      </c>
      <c r="M14" s="3">
        <v>801151057</v>
      </c>
      <c r="N14" s="3">
        <v>901361815</v>
      </c>
      <c r="O14" s="23">
        <v>25100</v>
      </c>
      <c r="P14" s="23">
        <v>25100</v>
      </c>
      <c r="Q14" s="22">
        <v>0.1000199203187251</v>
      </c>
      <c r="R14" s="23">
        <v>2510.5</v>
      </c>
      <c r="S14" s="3">
        <v>125.5</v>
      </c>
      <c r="T14" s="23">
        <v>2636</v>
      </c>
      <c r="U14" s="4" t="s">
        <v>39</v>
      </c>
      <c r="V14" s="3">
        <v>6</v>
      </c>
      <c r="W14" s="4" t="s">
        <v>123</v>
      </c>
      <c r="X14" s="4" t="s">
        <v>41</v>
      </c>
      <c r="Y14" s="4" t="s">
        <v>124</v>
      </c>
      <c r="Z14" s="4" t="s">
        <v>41</v>
      </c>
      <c r="AA14" s="4" t="s">
        <v>41</v>
      </c>
      <c r="AB14" s="4" t="s">
        <v>41</v>
      </c>
    </row>
    <row r="15" spans="1:28" x14ac:dyDescent="0.35">
      <c r="A15" s="4" t="s">
        <v>35</v>
      </c>
      <c r="B15" s="4" t="s">
        <v>23</v>
      </c>
      <c r="C15" s="4" t="s">
        <v>1</v>
      </c>
      <c r="D15" s="3">
        <v>151000015</v>
      </c>
      <c r="E15" s="4" t="s">
        <v>16</v>
      </c>
      <c r="F15" s="4" t="s">
        <v>86</v>
      </c>
      <c r="G15" s="4" t="s">
        <v>125</v>
      </c>
      <c r="H15" s="3">
        <v>40046</v>
      </c>
      <c r="I15" s="4" t="s">
        <v>19</v>
      </c>
      <c r="J15" s="3">
        <v>28070010</v>
      </c>
      <c r="K15" s="4" t="s">
        <v>38</v>
      </c>
      <c r="L15" s="3">
        <v>11195871</v>
      </c>
      <c r="M15" s="3">
        <v>801151081</v>
      </c>
      <c r="N15" s="3">
        <v>901362255</v>
      </c>
      <c r="O15" s="23">
        <v>25600</v>
      </c>
      <c r="P15" s="23">
        <v>25600</v>
      </c>
      <c r="Q15" s="22">
        <v>0.1</v>
      </c>
      <c r="R15" s="23">
        <v>2560</v>
      </c>
      <c r="S15" s="3">
        <v>128</v>
      </c>
      <c r="T15" s="23">
        <v>2688</v>
      </c>
      <c r="U15" s="4" t="s">
        <v>39</v>
      </c>
      <c r="V15" s="3">
        <v>15</v>
      </c>
      <c r="W15" s="4" t="s">
        <v>123</v>
      </c>
      <c r="X15" s="4" t="s">
        <v>41</v>
      </c>
      <c r="Y15" s="4" t="s">
        <v>124</v>
      </c>
      <c r="Z15" s="4" t="s">
        <v>41</v>
      </c>
      <c r="AA15" s="4" t="s">
        <v>41</v>
      </c>
      <c r="AB15" s="4" t="s">
        <v>41</v>
      </c>
    </row>
    <row r="16" spans="1:28" x14ac:dyDescent="0.35">
      <c r="A16" s="4" t="s">
        <v>35</v>
      </c>
      <c r="B16" s="4" t="s">
        <v>23</v>
      </c>
      <c r="C16" s="4" t="s">
        <v>1</v>
      </c>
      <c r="D16" s="3">
        <v>151000013</v>
      </c>
      <c r="E16" s="4" t="s">
        <v>18</v>
      </c>
      <c r="F16" s="4" t="s">
        <v>87</v>
      </c>
      <c r="G16" s="4" t="s">
        <v>88</v>
      </c>
      <c r="H16" s="3">
        <v>40058</v>
      </c>
      <c r="I16" s="4" t="s">
        <v>43</v>
      </c>
      <c r="J16" s="3">
        <v>84818030</v>
      </c>
      <c r="K16" s="4" t="s">
        <v>38</v>
      </c>
      <c r="L16" s="3">
        <v>11196166</v>
      </c>
      <c r="M16" s="3">
        <v>801151330</v>
      </c>
      <c r="N16" s="3">
        <v>901363687</v>
      </c>
      <c r="O16" s="23">
        <v>32230</v>
      </c>
      <c r="P16" s="23">
        <v>32230</v>
      </c>
      <c r="Q16" s="22">
        <v>9.9995656220912194E-2</v>
      </c>
      <c r="R16" s="23">
        <v>3222.86</v>
      </c>
      <c r="S16" s="3">
        <v>580.14</v>
      </c>
      <c r="T16" s="23">
        <v>3803</v>
      </c>
      <c r="U16" s="4" t="s">
        <v>39</v>
      </c>
      <c r="V16" s="4" t="s">
        <v>41</v>
      </c>
      <c r="W16" s="4" t="s">
        <v>89</v>
      </c>
      <c r="X16" s="4" t="s">
        <v>41</v>
      </c>
      <c r="Y16" s="4" t="s">
        <v>90</v>
      </c>
      <c r="Z16" s="4" t="s">
        <v>41</v>
      </c>
      <c r="AA16" s="4" t="s">
        <v>41</v>
      </c>
      <c r="AB16" s="4" t="s">
        <v>41</v>
      </c>
    </row>
    <row r="17" spans="1:28" x14ac:dyDescent="0.35">
      <c r="A17" s="4" t="s">
        <v>35</v>
      </c>
      <c r="B17" s="4" t="s">
        <v>23</v>
      </c>
      <c r="C17" s="4" t="s">
        <v>1</v>
      </c>
      <c r="D17" s="3">
        <v>151000013</v>
      </c>
      <c r="E17" s="4" t="s">
        <v>18</v>
      </c>
      <c r="F17" s="4" t="s">
        <v>126</v>
      </c>
      <c r="G17" s="28">
        <v>46168</v>
      </c>
      <c r="H17" s="3">
        <v>40058</v>
      </c>
      <c r="I17" s="4" t="s">
        <v>43</v>
      </c>
      <c r="J17" s="3">
        <v>84818030</v>
      </c>
      <c r="K17" s="4" t="s">
        <v>38</v>
      </c>
      <c r="L17" s="3">
        <v>11197821</v>
      </c>
      <c r="M17" s="3">
        <v>801153107</v>
      </c>
      <c r="N17" s="3">
        <v>901366937</v>
      </c>
      <c r="O17" s="25">
        <v>32010</v>
      </c>
      <c r="P17" s="25">
        <v>32010</v>
      </c>
      <c r="Q17" s="23">
        <f t="shared" ref="Q17" si="0">R17/P17</f>
        <v>9.9994376757263359E-2</v>
      </c>
      <c r="R17" s="26">
        <v>3200.82</v>
      </c>
      <c r="S17" s="26">
        <v>576.17999999999995</v>
      </c>
      <c r="T17" s="26">
        <v>3777</v>
      </c>
      <c r="U17" s="4" t="s">
        <v>39</v>
      </c>
      <c r="V17" s="29" t="s">
        <v>127</v>
      </c>
      <c r="W17" s="4" t="s">
        <v>89</v>
      </c>
      <c r="X17" s="4" t="s">
        <v>41</v>
      </c>
      <c r="Y17" s="4" t="s">
        <v>128</v>
      </c>
      <c r="Z17" s="24"/>
      <c r="AA17" s="24"/>
      <c r="AB17" s="27"/>
    </row>
    <row r="18" spans="1:28" x14ac:dyDescent="0.35">
      <c r="A18" s="4" t="s">
        <v>35</v>
      </c>
      <c r="B18" s="4" t="s">
        <v>23</v>
      </c>
      <c r="C18" s="4" t="s">
        <v>1</v>
      </c>
      <c r="D18" s="3">
        <v>151000015</v>
      </c>
      <c r="E18" s="4" t="s">
        <v>16</v>
      </c>
      <c r="F18" s="4" t="s">
        <v>129</v>
      </c>
      <c r="G18" s="49">
        <v>46169</v>
      </c>
      <c r="H18" s="3">
        <v>40046</v>
      </c>
      <c r="I18" s="4" t="s">
        <v>19</v>
      </c>
      <c r="J18" s="3">
        <v>28070010</v>
      </c>
      <c r="K18" s="4" t="s">
        <v>38</v>
      </c>
      <c r="L18" s="3">
        <v>11198204</v>
      </c>
      <c r="M18" s="3">
        <v>801153781</v>
      </c>
      <c r="N18" s="3">
        <v>901367952</v>
      </c>
      <c r="O18" s="25">
        <v>30290</v>
      </c>
      <c r="P18" s="25">
        <v>30290</v>
      </c>
      <c r="Q18" s="23">
        <v>9.9984813469792003E-2</v>
      </c>
      <c r="R18" s="26">
        <v>3028.54</v>
      </c>
      <c r="S18" s="26">
        <v>151.46</v>
      </c>
      <c r="T18" s="26">
        <v>3180</v>
      </c>
      <c r="U18" s="40" t="s">
        <v>39</v>
      </c>
      <c r="V18" s="40" t="s">
        <v>41</v>
      </c>
      <c r="W18" s="40" t="s">
        <v>130</v>
      </c>
      <c r="X18" s="40" t="s">
        <v>41</v>
      </c>
      <c r="Y18" s="10" t="s">
        <v>124</v>
      </c>
      <c r="Z18" s="24"/>
      <c r="AA18" s="24"/>
      <c r="AB18" s="4" t="s">
        <v>41</v>
      </c>
    </row>
  </sheetData>
  <autoFilter ref="A4:AB18" xr:uid="{A2325C55-A10B-4FA9-A15E-D6CE70554FA3}"/>
  <mergeCells count="1">
    <mergeCell ref="A1:P1"/>
  </mergeCells>
  <conditionalFormatting sqref="P4:Q4">
    <cfRule type="duplicateValues" dxfId="1" priority="1" stopIfTrue="1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F769-B04C-465A-AC8E-7BF7670C9564}">
  <sheetPr filterMode="1"/>
  <dimension ref="A1:AC52"/>
  <sheetViews>
    <sheetView zoomScale="90" zoomScaleNormal="90" workbookViewId="0">
      <pane xSplit="6" ySplit="5" topLeftCell="U6" activePane="bottomRight" state="frozen"/>
      <selection pane="topRight" activeCell="G1" sqref="G1"/>
      <selection pane="bottomLeft" activeCell="A3" sqref="A3"/>
      <selection pane="bottomRight" activeCell="V59" sqref="V59"/>
    </sheetView>
  </sheetViews>
  <sheetFormatPr defaultColWidth="8.90625" defaultRowHeight="14.5" x14ac:dyDescent="0.35"/>
  <cols>
    <col min="1" max="4" width="10.6328125" customWidth="1"/>
    <col min="5" max="5" width="40.26953125" bestFit="1" customWidth="1"/>
    <col min="6" max="6" width="14.6328125" customWidth="1"/>
    <col min="7" max="7" width="16.54296875" style="42" bestFit="1" customWidth="1"/>
    <col min="8" max="8" width="15.1796875" bestFit="1" customWidth="1"/>
    <col min="9" max="9" width="57.6328125" bestFit="1" customWidth="1"/>
    <col min="10" max="10" width="15" style="1" bestFit="1" customWidth="1"/>
    <col min="11" max="11" width="22.08984375" bestFit="1" customWidth="1"/>
    <col min="12" max="12" width="14.90625" bestFit="1" customWidth="1"/>
    <col min="13" max="13" width="13.6328125" bestFit="1" customWidth="1"/>
    <col min="14" max="14" width="13.36328125" bestFit="1" customWidth="1"/>
    <col min="15" max="15" width="19.6328125" bestFit="1" customWidth="1"/>
    <col min="16" max="16" width="22.6328125" bestFit="1" customWidth="1"/>
    <col min="17" max="17" width="12.26953125" bestFit="1" customWidth="1"/>
    <col min="18" max="18" width="12.26953125" customWidth="1"/>
    <col min="19" max="19" width="12.54296875" bestFit="1" customWidth="1"/>
    <col min="20" max="20" width="14.08984375" bestFit="1" customWidth="1"/>
    <col min="21" max="21" width="20.26953125" style="9" bestFit="1" customWidth="1"/>
    <col min="22" max="22" width="15" style="9" bestFit="1" customWidth="1"/>
    <col min="23" max="23" width="13.453125" style="9" bestFit="1" customWidth="1"/>
    <col min="24" max="24" width="14.26953125" style="9" bestFit="1" customWidth="1"/>
    <col min="25" max="25" width="11.26953125" style="32" bestFit="1" customWidth="1"/>
    <col min="26" max="27" width="10.08984375" bestFit="1" customWidth="1"/>
    <col min="28" max="28" width="10.90625" bestFit="1" customWidth="1"/>
  </cols>
  <sheetData>
    <row r="1" spans="1:29" ht="55.75" hidden="1" customHeight="1" x14ac:dyDescent="0.35">
      <c r="A1" s="70" t="s">
        <v>5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2"/>
    </row>
    <row r="2" spans="1:29" ht="27" customHeight="1" x14ac:dyDescent="0.8">
      <c r="A2" s="7"/>
      <c r="B2" s="7"/>
      <c r="C2" s="7"/>
      <c r="D2" s="7"/>
      <c r="E2" s="7"/>
      <c r="F2" s="7"/>
      <c r="G2" s="43"/>
      <c r="H2" s="7"/>
      <c r="I2" s="6">
        <f>I4/1000</f>
        <v>0</v>
      </c>
      <c r="J2" s="7"/>
      <c r="K2" s="5"/>
      <c r="L2" s="6"/>
      <c r="M2" s="6"/>
      <c r="N2" s="5"/>
      <c r="O2" s="7"/>
      <c r="P2" s="7"/>
      <c r="Q2" s="7"/>
      <c r="R2" s="7"/>
      <c r="S2" s="7"/>
      <c r="T2" s="7"/>
      <c r="U2" s="35"/>
      <c r="V2" s="35"/>
      <c r="W2" s="35"/>
      <c r="X2" s="35"/>
    </row>
    <row r="3" spans="1:29" ht="33.5" customHeight="1" x14ac:dyDescent="0.8">
      <c r="A3" s="7"/>
      <c r="B3" s="7"/>
      <c r="C3" s="7"/>
      <c r="D3" s="7"/>
      <c r="E3" s="7"/>
      <c r="F3" s="7"/>
      <c r="G3" s="43"/>
      <c r="H3" s="7"/>
      <c r="I3" s="6"/>
      <c r="J3" s="7"/>
      <c r="K3" s="7"/>
      <c r="L3" s="7"/>
      <c r="M3" s="7"/>
      <c r="N3" s="7"/>
      <c r="O3" s="7"/>
      <c r="P3" s="51">
        <f>P4/1000</f>
        <v>64.260000000000005</v>
      </c>
      <c r="Q3" s="51"/>
      <c r="R3" s="52">
        <f>R4/100000</f>
        <v>6.4263199999999993E-2</v>
      </c>
      <c r="S3" s="51"/>
      <c r="T3" s="52">
        <f>T4/100000</f>
        <v>7.5829999999999995E-2</v>
      </c>
      <c r="U3" s="35"/>
      <c r="V3" s="35"/>
      <c r="W3" s="35"/>
      <c r="X3" s="35"/>
    </row>
    <row r="4" spans="1:29" ht="26" customHeight="1" thickBot="1" x14ac:dyDescent="0.85">
      <c r="A4" s="15"/>
      <c r="B4" s="15"/>
      <c r="C4" s="15"/>
      <c r="D4" s="15"/>
      <c r="E4" s="15"/>
      <c r="F4" s="15"/>
      <c r="G4" s="44"/>
      <c r="H4" s="15"/>
      <c r="I4" s="16"/>
      <c r="J4" s="15"/>
      <c r="K4" s="16"/>
      <c r="L4" s="15"/>
      <c r="M4" s="16"/>
      <c r="N4" s="16"/>
      <c r="O4" s="15"/>
      <c r="P4" s="55">
        <f>SUBTOTAL(9,P6:P52)</f>
        <v>64260</v>
      </c>
      <c r="Q4" s="53"/>
      <c r="R4" s="55">
        <f>SUBTOTAL(9,R6:R52)</f>
        <v>6426.32</v>
      </c>
      <c r="S4" s="53"/>
      <c r="T4" s="55">
        <f>SUBTOTAL(9,T6:T52)</f>
        <v>7583</v>
      </c>
      <c r="U4" s="36"/>
      <c r="V4" s="36"/>
      <c r="W4" s="36"/>
      <c r="X4" s="36"/>
    </row>
    <row r="5" spans="1:29" s="2" customFormat="1" ht="24.5" customHeight="1" thickBot="1" x14ac:dyDescent="0.4">
      <c r="A5" s="18" t="s">
        <v>25</v>
      </c>
      <c r="B5" s="19" t="s">
        <v>17</v>
      </c>
      <c r="C5" s="19" t="s">
        <v>26</v>
      </c>
      <c r="D5" s="19" t="s">
        <v>11</v>
      </c>
      <c r="E5" s="19" t="s">
        <v>12</v>
      </c>
      <c r="F5" s="19" t="s">
        <v>9</v>
      </c>
      <c r="G5" s="45" t="s">
        <v>10</v>
      </c>
      <c r="H5" s="19" t="s">
        <v>7</v>
      </c>
      <c r="I5" s="19" t="s">
        <v>8</v>
      </c>
      <c r="J5" s="19" t="s">
        <v>91</v>
      </c>
      <c r="K5" s="19" t="s">
        <v>27</v>
      </c>
      <c r="L5" s="19" t="s">
        <v>14</v>
      </c>
      <c r="M5" s="19" t="s">
        <v>15</v>
      </c>
      <c r="N5" s="19" t="s">
        <v>92</v>
      </c>
      <c r="O5" s="19" t="s">
        <v>13</v>
      </c>
      <c r="P5" s="19" t="s">
        <v>28</v>
      </c>
      <c r="Q5" s="19" t="s">
        <v>6</v>
      </c>
      <c r="R5" s="19" t="s">
        <v>29</v>
      </c>
      <c r="S5" s="19" t="s">
        <v>30</v>
      </c>
      <c r="T5" s="19" t="s">
        <v>31</v>
      </c>
      <c r="U5" s="37" t="s">
        <v>32</v>
      </c>
      <c r="V5" s="37" t="s">
        <v>33</v>
      </c>
      <c r="W5" s="37" t="s">
        <v>34</v>
      </c>
      <c r="X5" s="37" t="s">
        <v>0</v>
      </c>
      <c r="Y5" s="31" t="s">
        <v>93</v>
      </c>
      <c r="Z5" s="19" t="s">
        <v>94</v>
      </c>
      <c r="AA5" s="19" t="s">
        <v>95</v>
      </c>
      <c r="AB5" s="20" t="s">
        <v>96</v>
      </c>
      <c r="AC5" s="14"/>
    </row>
    <row r="6" spans="1:29" hidden="1" x14ac:dyDescent="0.35">
      <c r="A6" s="17" t="s">
        <v>35</v>
      </c>
      <c r="B6" s="17" t="s">
        <v>36</v>
      </c>
      <c r="C6" s="17" t="s">
        <v>1</v>
      </c>
      <c r="D6" s="21">
        <v>151000015</v>
      </c>
      <c r="E6" s="17" t="s">
        <v>16</v>
      </c>
      <c r="F6" s="17" t="s">
        <v>37</v>
      </c>
      <c r="G6" s="46" t="s">
        <v>97</v>
      </c>
      <c r="H6" s="21">
        <v>40054</v>
      </c>
      <c r="I6" s="17" t="s">
        <v>20</v>
      </c>
      <c r="J6" s="21">
        <v>28070010</v>
      </c>
      <c r="K6" s="17" t="s">
        <v>38</v>
      </c>
      <c r="L6" s="21">
        <v>11190895</v>
      </c>
      <c r="M6" s="21">
        <v>801146082</v>
      </c>
      <c r="N6" s="21">
        <v>901346670</v>
      </c>
      <c r="O6" s="22">
        <v>33630</v>
      </c>
      <c r="P6" s="22">
        <v>33630</v>
      </c>
      <c r="Q6" s="22">
        <f>R6/P6</f>
        <v>9.999524234314601E-2</v>
      </c>
      <c r="R6" s="22">
        <v>3362.84</v>
      </c>
      <c r="S6" s="21">
        <v>168.16</v>
      </c>
      <c r="T6" s="22">
        <v>3531</v>
      </c>
      <c r="U6" s="38" t="s">
        <v>39</v>
      </c>
      <c r="V6" s="39">
        <v>7</v>
      </c>
      <c r="W6" s="38" t="s">
        <v>40</v>
      </c>
      <c r="X6" s="38" t="s">
        <v>41</v>
      </c>
      <c r="Y6" s="33" t="s">
        <v>98</v>
      </c>
      <c r="Z6" s="17" t="s">
        <v>41</v>
      </c>
      <c r="AA6" s="17" t="s">
        <v>41</v>
      </c>
      <c r="AB6" s="17" t="s">
        <v>41</v>
      </c>
    </row>
    <row r="7" spans="1:29" hidden="1" x14ac:dyDescent="0.35">
      <c r="A7" s="4" t="s">
        <v>35</v>
      </c>
      <c r="B7" s="4" t="s">
        <v>36</v>
      </c>
      <c r="C7" s="4" t="s">
        <v>1</v>
      </c>
      <c r="D7" s="3">
        <v>151000013</v>
      </c>
      <c r="E7" s="4" t="s">
        <v>18</v>
      </c>
      <c r="F7" s="4" t="s">
        <v>42</v>
      </c>
      <c r="G7" s="47" t="s">
        <v>99</v>
      </c>
      <c r="H7" s="3">
        <v>40058</v>
      </c>
      <c r="I7" s="4" t="s">
        <v>43</v>
      </c>
      <c r="J7" s="3">
        <v>84818030</v>
      </c>
      <c r="K7" s="4" t="s">
        <v>38</v>
      </c>
      <c r="L7" s="3">
        <v>11190903</v>
      </c>
      <c r="M7" s="3">
        <v>801146090</v>
      </c>
      <c r="N7" s="3">
        <v>901346688</v>
      </c>
      <c r="O7" s="23">
        <v>20420</v>
      </c>
      <c r="P7" s="23">
        <v>20420</v>
      </c>
      <c r="Q7" s="22">
        <f t="shared" ref="Q7:Q32" si="0">R7/P7</f>
        <v>0.10002154750244859</v>
      </c>
      <c r="R7" s="23">
        <v>2042.44</v>
      </c>
      <c r="S7" s="3">
        <v>367.56</v>
      </c>
      <c r="T7" s="23">
        <v>2410</v>
      </c>
      <c r="U7" s="40" t="s">
        <v>39</v>
      </c>
      <c r="V7" s="40" t="s">
        <v>41</v>
      </c>
      <c r="W7" s="40" t="s">
        <v>44</v>
      </c>
      <c r="X7" s="40" t="s">
        <v>41</v>
      </c>
      <c r="Y7" s="10" t="s">
        <v>100</v>
      </c>
      <c r="Z7" s="4" t="s">
        <v>41</v>
      </c>
      <c r="AA7" s="4" t="s">
        <v>41</v>
      </c>
      <c r="AB7" s="4" t="s">
        <v>41</v>
      </c>
    </row>
    <row r="8" spans="1:29" hidden="1" x14ac:dyDescent="0.35">
      <c r="A8" s="4" t="s">
        <v>35</v>
      </c>
      <c r="B8" s="4" t="s">
        <v>36</v>
      </c>
      <c r="C8" s="4" t="s">
        <v>1</v>
      </c>
      <c r="D8" s="3">
        <v>151000015</v>
      </c>
      <c r="E8" s="4" t="s">
        <v>16</v>
      </c>
      <c r="F8" s="4" t="s">
        <v>45</v>
      </c>
      <c r="G8" s="47" t="s">
        <v>101</v>
      </c>
      <c r="H8" s="3">
        <v>40046</v>
      </c>
      <c r="I8" s="4" t="s">
        <v>19</v>
      </c>
      <c r="J8" s="3">
        <v>28070010</v>
      </c>
      <c r="K8" s="4" t="s">
        <v>38</v>
      </c>
      <c r="L8" s="3">
        <v>11190912</v>
      </c>
      <c r="M8" s="3">
        <v>801146103</v>
      </c>
      <c r="N8" s="3">
        <v>901346706</v>
      </c>
      <c r="O8" s="23">
        <v>36460</v>
      </c>
      <c r="P8" s="23">
        <v>36460</v>
      </c>
      <c r="Q8" s="22">
        <f t="shared" si="0"/>
        <v>9.9991771804717494E-2</v>
      </c>
      <c r="R8" s="23">
        <v>3645.7</v>
      </c>
      <c r="S8" s="3">
        <v>182.3</v>
      </c>
      <c r="T8" s="23">
        <v>3828</v>
      </c>
      <c r="U8" s="40" t="s">
        <v>39</v>
      </c>
      <c r="V8" s="41">
        <v>54</v>
      </c>
      <c r="W8" s="40" t="s">
        <v>46</v>
      </c>
      <c r="X8" s="40" t="s">
        <v>41</v>
      </c>
      <c r="Y8" s="10" t="s">
        <v>102</v>
      </c>
      <c r="Z8" s="4" t="s">
        <v>41</v>
      </c>
      <c r="AA8" s="4" t="s">
        <v>41</v>
      </c>
      <c r="AB8" s="4" t="s">
        <v>41</v>
      </c>
    </row>
    <row r="9" spans="1:29" hidden="1" x14ac:dyDescent="0.35">
      <c r="A9" s="4" t="s">
        <v>35</v>
      </c>
      <c r="B9" s="4" t="s">
        <v>36</v>
      </c>
      <c r="C9" s="4" t="s">
        <v>1</v>
      </c>
      <c r="D9" s="3">
        <v>151000012</v>
      </c>
      <c r="E9" s="4" t="s">
        <v>47</v>
      </c>
      <c r="F9" s="4" t="s">
        <v>48</v>
      </c>
      <c r="G9" s="47" t="s">
        <v>103</v>
      </c>
      <c r="H9" s="3">
        <v>40058</v>
      </c>
      <c r="I9" s="4" t="s">
        <v>43</v>
      </c>
      <c r="J9" s="3">
        <v>38140010</v>
      </c>
      <c r="K9" s="4" t="s">
        <v>38</v>
      </c>
      <c r="L9" s="3">
        <v>11190932</v>
      </c>
      <c r="M9" s="3">
        <v>801146129</v>
      </c>
      <c r="N9" s="3">
        <v>901346743</v>
      </c>
      <c r="O9" s="23">
        <v>16500</v>
      </c>
      <c r="P9" s="23">
        <v>16500</v>
      </c>
      <c r="Q9" s="22">
        <f t="shared" si="0"/>
        <v>3.5</v>
      </c>
      <c r="R9" s="23">
        <v>57750</v>
      </c>
      <c r="S9" s="23">
        <v>10395</v>
      </c>
      <c r="T9" s="23">
        <v>68145</v>
      </c>
      <c r="U9" s="40" t="s">
        <v>39</v>
      </c>
      <c r="V9" s="40" t="s">
        <v>41</v>
      </c>
      <c r="W9" s="40" t="s">
        <v>49</v>
      </c>
      <c r="X9" s="40" t="s">
        <v>41</v>
      </c>
      <c r="Y9" s="10" t="s">
        <v>104</v>
      </c>
      <c r="Z9" s="4" t="s">
        <v>41</v>
      </c>
      <c r="AA9" s="4" t="s">
        <v>41</v>
      </c>
      <c r="AB9" s="4" t="s">
        <v>41</v>
      </c>
    </row>
    <row r="10" spans="1:29" hidden="1" x14ac:dyDescent="0.35">
      <c r="A10" s="4" t="s">
        <v>35</v>
      </c>
      <c r="B10" s="4" t="s">
        <v>36</v>
      </c>
      <c r="C10" s="4" t="s">
        <v>1</v>
      </c>
      <c r="D10" s="3">
        <v>151000013</v>
      </c>
      <c r="E10" s="4" t="s">
        <v>18</v>
      </c>
      <c r="F10" s="4" t="s">
        <v>50</v>
      </c>
      <c r="G10" s="47" t="s">
        <v>105</v>
      </c>
      <c r="H10" s="3">
        <v>40056</v>
      </c>
      <c r="I10" s="4" t="s">
        <v>24</v>
      </c>
      <c r="J10" s="3">
        <v>84818030</v>
      </c>
      <c r="K10" s="4" t="s">
        <v>38</v>
      </c>
      <c r="L10" s="3">
        <v>11190942</v>
      </c>
      <c r="M10" s="3">
        <v>801146160</v>
      </c>
      <c r="N10" s="3">
        <v>901346784</v>
      </c>
      <c r="O10" s="23">
        <v>21030</v>
      </c>
      <c r="P10" s="23">
        <v>21030</v>
      </c>
      <c r="Q10" s="22">
        <f t="shared" si="0"/>
        <v>0.10002187351402758</v>
      </c>
      <c r="R10" s="23">
        <v>2103.46</v>
      </c>
      <c r="S10" s="3">
        <v>378.54</v>
      </c>
      <c r="T10" s="23">
        <v>2482</v>
      </c>
      <c r="U10" s="40" t="s">
        <v>39</v>
      </c>
      <c r="V10" s="40" t="s">
        <v>41</v>
      </c>
      <c r="W10" s="40" t="s">
        <v>51</v>
      </c>
      <c r="X10" s="40" t="s">
        <v>41</v>
      </c>
      <c r="Y10" s="10" t="s">
        <v>100</v>
      </c>
      <c r="Z10" s="4" t="s">
        <v>41</v>
      </c>
      <c r="AA10" s="4" t="s">
        <v>41</v>
      </c>
      <c r="AB10" s="4" t="s">
        <v>41</v>
      </c>
    </row>
    <row r="11" spans="1:29" hidden="1" x14ac:dyDescent="0.35">
      <c r="A11" s="4" t="s">
        <v>35</v>
      </c>
      <c r="B11" s="4" t="s">
        <v>36</v>
      </c>
      <c r="C11" s="4" t="s">
        <v>1</v>
      </c>
      <c r="D11" s="3">
        <v>151000013</v>
      </c>
      <c r="E11" s="4" t="s">
        <v>18</v>
      </c>
      <c r="F11" s="4" t="s">
        <v>52</v>
      </c>
      <c r="G11" s="47" t="s">
        <v>105</v>
      </c>
      <c r="H11" s="3">
        <v>40056</v>
      </c>
      <c r="I11" s="4" t="s">
        <v>24</v>
      </c>
      <c r="J11" s="3">
        <v>84818030</v>
      </c>
      <c r="K11" s="4" t="s">
        <v>38</v>
      </c>
      <c r="L11" s="3">
        <v>11191011</v>
      </c>
      <c r="M11" s="3">
        <v>801146195</v>
      </c>
      <c r="N11" s="3">
        <v>901346832</v>
      </c>
      <c r="O11" s="23">
        <v>31010</v>
      </c>
      <c r="P11" s="23">
        <v>31010</v>
      </c>
      <c r="Q11" s="22">
        <f t="shared" si="0"/>
        <v>9.9994195420831988E-2</v>
      </c>
      <c r="R11" s="23">
        <v>3100.82</v>
      </c>
      <c r="S11" s="3">
        <v>558.17999999999995</v>
      </c>
      <c r="T11" s="23">
        <v>3659</v>
      </c>
      <c r="U11" s="40" t="s">
        <v>39</v>
      </c>
      <c r="V11" s="40" t="s">
        <v>41</v>
      </c>
      <c r="W11" s="40" t="s">
        <v>53</v>
      </c>
      <c r="X11" s="40" t="s">
        <v>41</v>
      </c>
      <c r="Y11" s="10" t="s">
        <v>106</v>
      </c>
      <c r="Z11" s="4" t="s">
        <v>41</v>
      </c>
      <c r="AA11" s="4" t="s">
        <v>41</v>
      </c>
      <c r="AB11" s="4" t="s">
        <v>41</v>
      </c>
    </row>
    <row r="12" spans="1:29" hidden="1" x14ac:dyDescent="0.35">
      <c r="A12" s="4" t="s">
        <v>35</v>
      </c>
      <c r="B12" s="4" t="s">
        <v>36</v>
      </c>
      <c r="C12" s="4" t="s">
        <v>1</v>
      </c>
      <c r="D12" s="3">
        <v>151000015</v>
      </c>
      <c r="E12" s="4" t="s">
        <v>16</v>
      </c>
      <c r="F12" s="4" t="s">
        <v>54</v>
      </c>
      <c r="G12" s="47" t="s">
        <v>107</v>
      </c>
      <c r="H12" s="3">
        <v>40046</v>
      </c>
      <c r="I12" s="4" t="s">
        <v>19</v>
      </c>
      <c r="J12" s="3">
        <v>28070010</v>
      </c>
      <c r="K12" s="4" t="s">
        <v>38</v>
      </c>
      <c r="L12" s="3">
        <v>11191050</v>
      </c>
      <c r="M12" s="3">
        <v>801146239</v>
      </c>
      <c r="N12" s="3">
        <v>901346894</v>
      </c>
      <c r="O12" s="23">
        <v>31490</v>
      </c>
      <c r="P12" s="23">
        <v>31490</v>
      </c>
      <c r="Q12" s="22">
        <f t="shared" si="0"/>
        <v>1.0011432200698634E-2</v>
      </c>
      <c r="R12" s="3">
        <v>315.26</v>
      </c>
      <c r="S12" s="3">
        <v>15.74</v>
      </c>
      <c r="T12" s="3">
        <v>331</v>
      </c>
      <c r="U12" s="40" t="s">
        <v>39</v>
      </c>
      <c r="V12" s="41">
        <v>12</v>
      </c>
      <c r="W12" s="40" t="s">
        <v>55</v>
      </c>
      <c r="X12" s="40" t="s">
        <v>41</v>
      </c>
      <c r="Y12" s="10" t="s">
        <v>108</v>
      </c>
      <c r="Z12" s="4" t="s">
        <v>41</v>
      </c>
      <c r="AA12" s="4" t="s">
        <v>41</v>
      </c>
      <c r="AB12" s="4" t="s">
        <v>41</v>
      </c>
    </row>
    <row r="13" spans="1:29" hidden="1" x14ac:dyDescent="0.35">
      <c r="A13" s="4" t="s">
        <v>35</v>
      </c>
      <c r="B13" s="4" t="s">
        <v>36</v>
      </c>
      <c r="C13" s="4" t="s">
        <v>1</v>
      </c>
      <c r="D13" s="3">
        <v>151000053</v>
      </c>
      <c r="E13" s="4" t="s">
        <v>22</v>
      </c>
      <c r="F13" s="4" t="s">
        <v>56</v>
      </c>
      <c r="G13" s="47" t="s">
        <v>109</v>
      </c>
      <c r="H13" s="3">
        <v>40003</v>
      </c>
      <c r="I13" s="4" t="s">
        <v>2</v>
      </c>
      <c r="J13" s="3">
        <v>29051100</v>
      </c>
      <c r="K13" s="4" t="s">
        <v>38</v>
      </c>
      <c r="L13" s="3">
        <v>11191997</v>
      </c>
      <c r="M13" s="3">
        <v>801147150</v>
      </c>
      <c r="N13" s="3">
        <v>901348198</v>
      </c>
      <c r="O13" s="23">
        <v>16190</v>
      </c>
      <c r="P13" s="23">
        <v>16190</v>
      </c>
      <c r="Q13" s="22">
        <f t="shared" si="0"/>
        <v>11.999975293390982</v>
      </c>
      <c r="R13" s="23">
        <v>194279.6</v>
      </c>
      <c r="S13" s="23">
        <v>34970.400000000001</v>
      </c>
      <c r="T13" s="23">
        <v>229250</v>
      </c>
      <c r="U13" s="40" t="s">
        <v>39</v>
      </c>
      <c r="V13" s="40" t="s">
        <v>41</v>
      </c>
      <c r="W13" s="40" t="s">
        <v>57</v>
      </c>
      <c r="X13" s="40" t="s">
        <v>41</v>
      </c>
      <c r="Y13" s="10" t="s">
        <v>110</v>
      </c>
      <c r="Z13" s="4" t="s">
        <v>41</v>
      </c>
      <c r="AA13" s="4" t="s">
        <v>41</v>
      </c>
      <c r="AB13" s="4" t="s">
        <v>41</v>
      </c>
    </row>
    <row r="14" spans="1:29" hidden="1" x14ac:dyDescent="0.35">
      <c r="A14" s="4" t="s">
        <v>35</v>
      </c>
      <c r="B14" s="4" t="s">
        <v>36</v>
      </c>
      <c r="C14" s="4" t="s">
        <v>1</v>
      </c>
      <c r="D14" s="3">
        <v>151000012</v>
      </c>
      <c r="E14" s="4" t="s">
        <v>47</v>
      </c>
      <c r="F14" s="4" t="s">
        <v>58</v>
      </c>
      <c r="G14" s="47" t="s">
        <v>111</v>
      </c>
      <c r="H14" s="3">
        <v>40058</v>
      </c>
      <c r="I14" s="4" t="s">
        <v>43</v>
      </c>
      <c r="J14" s="3">
        <v>38140010</v>
      </c>
      <c r="K14" s="4" t="s">
        <v>38</v>
      </c>
      <c r="L14" s="3">
        <v>11192171</v>
      </c>
      <c r="M14" s="3">
        <v>801147298</v>
      </c>
      <c r="N14" s="3">
        <v>901348480</v>
      </c>
      <c r="O14" s="23">
        <v>6570</v>
      </c>
      <c r="P14" s="23">
        <v>6570</v>
      </c>
      <c r="Q14" s="22">
        <f t="shared" si="0"/>
        <v>3.0000304414003045</v>
      </c>
      <c r="R14" s="23">
        <v>19710.2</v>
      </c>
      <c r="S14" s="23">
        <v>3547.8</v>
      </c>
      <c r="T14" s="23">
        <v>23258</v>
      </c>
      <c r="U14" s="40" t="s">
        <v>39</v>
      </c>
      <c r="V14" s="40" t="s">
        <v>59</v>
      </c>
      <c r="W14" s="40" t="s">
        <v>60</v>
      </c>
      <c r="X14" s="40" t="s">
        <v>41</v>
      </c>
      <c r="Y14" s="10" t="s">
        <v>112</v>
      </c>
      <c r="Z14" s="4" t="s">
        <v>41</v>
      </c>
      <c r="AA14" s="4" t="s">
        <v>41</v>
      </c>
      <c r="AB14" s="4" t="s">
        <v>41</v>
      </c>
    </row>
    <row r="15" spans="1:29" hidden="1" x14ac:dyDescent="0.35">
      <c r="A15" s="4" t="s">
        <v>35</v>
      </c>
      <c r="B15" s="4" t="s">
        <v>36</v>
      </c>
      <c r="C15" s="4" t="s">
        <v>1</v>
      </c>
      <c r="D15" s="3">
        <v>151000015</v>
      </c>
      <c r="E15" s="4" t="s">
        <v>16</v>
      </c>
      <c r="F15" s="4" t="s">
        <v>61</v>
      </c>
      <c r="G15" s="47" t="s">
        <v>113</v>
      </c>
      <c r="H15" s="3">
        <v>40046</v>
      </c>
      <c r="I15" s="4" t="s">
        <v>19</v>
      </c>
      <c r="J15" s="3">
        <v>28070010</v>
      </c>
      <c r="K15" s="4" t="s">
        <v>38</v>
      </c>
      <c r="L15" s="3">
        <v>11192606</v>
      </c>
      <c r="M15" s="3">
        <v>801147790</v>
      </c>
      <c r="N15" s="3">
        <v>901350627</v>
      </c>
      <c r="O15" s="23">
        <v>30570</v>
      </c>
      <c r="P15" s="23">
        <v>30570</v>
      </c>
      <c r="Q15" s="22">
        <f t="shared" si="0"/>
        <v>0.10000457965325482</v>
      </c>
      <c r="R15" s="23">
        <v>3057.14</v>
      </c>
      <c r="S15" s="3">
        <v>152.86000000000001</v>
      </c>
      <c r="T15" s="23">
        <v>3210</v>
      </c>
      <c r="U15" s="40" t="s">
        <v>39</v>
      </c>
      <c r="V15" s="41">
        <v>5</v>
      </c>
      <c r="W15" s="40" t="s">
        <v>62</v>
      </c>
      <c r="X15" s="40" t="s">
        <v>41</v>
      </c>
      <c r="Y15" s="10" t="s">
        <v>114</v>
      </c>
      <c r="Z15" s="4" t="s">
        <v>41</v>
      </c>
      <c r="AA15" s="4" t="s">
        <v>41</v>
      </c>
      <c r="AB15" s="4" t="s">
        <v>41</v>
      </c>
    </row>
    <row r="16" spans="1:29" hidden="1" x14ac:dyDescent="0.35">
      <c r="A16" s="4" t="s">
        <v>35</v>
      </c>
      <c r="B16" s="4" t="s">
        <v>36</v>
      </c>
      <c r="C16" s="4" t="s">
        <v>1</v>
      </c>
      <c r="D16" s="3">
        <v>151000015</v>
      </c>
      <c r="E16" s="4" t="s">
        <v>16</v>
      </c>
      <c r="F16" s="4" t="s">
        <v>64</v>
      </c>
      <c r="G16" s="47" t="s">
        <v>115</v>
      </c>
      <c r="H16" s="3">
        <v>40046</v>
      </c>
      <c r="I16" s="4" t="s">
        <v>19</v>
      </c>
      <c r="J16" s="3">
        <v>28070010</v>
      </c>
      <c r="K16" s="4" t="s">
        <v>38</v>
      </c>
      <c r="L16" s="3">
        <v>11193334</v>
      </c>
      <c r="M16" s="3">
        <v>801148635</v>
      </c>
      <c r="N16" s="3">
        <v>901352707</v>
      </c>
      <c r="O16" s="23">
        <v>30150</v>
      </c>
      <c r="P16" s="23">
        <v>30150</v>
      </c>
      <c r="Q16" s="22">
        <f t="shared" si="0"/>
        <v>0.10000895522388059</v>
      </c>
      <c r="R16" s="23">
        <v>3015.27</v>
      </c>
      <c r="S16" s="3">
        <v>346.73</v>
      </c>
      <c r="T16" s="23">
        <v>3362</v>
      </c>
      <c r="U16" s="40" t="s">
        <v>39</v>
      </c>
      <c r="V16" s="40" t="s">
        <v>41</v>
      </c>
      <c r="W16" s="40" t="s">
        <v>21</v>
      </c>
      <c r="X16" s="40" t="s">
        <v>66</v>
      </c>
      <c r="Y16" s="10" t="s">
        <v>116</v>
      </c>
      <c r="Z16" s="4" t="s">
        <v>41</v>
      </c>
      <c r="AA16" s="4" t="s">
        <v>41</v>
      </c>
      <c r="AB16" s="4" t="s">
        <v>41</v>
      </c>
    </row>
    <row r="17" spans="1:28" hidden="1" x14ac:dyDescent="0.35">
      <c r="A17" s="4" t="s">
        <v>65</v>
      </c>
      <c r="B17" s="4" t="s">
        <v>36</v>
      </c>
      <c r="C17" s="4" t="s">
        <v>1</v>
      </c>
      <c r="D17" s="3">
        <v>151000015</v>
      </c>
      <c r="E17" s="4" t="s">
        <v>16</v>
      </c>
      <c r="F17" s="4" t="s">
        <v>64</v>
      </c>
      <c r="G17" s="47" t="s">
        <v>115</v>
      </c>
      <c r="H17" s="3">
        <v>40046</v>
      </c>
      <c r="I17" s="4" t="s">
        <v>19</v>
      </c>
      <c r="J17" s="3">
        <v>28070010</v>
      </c>
      <c r="K17" s="4" t="s">
        <v>38</v>
      </c>
      <c r="L17" s="3">
        <v>11193334</v>
      </c>
      <c r="M17" s="3">
        <v>801148635</v>
      </c>
      <c r="N17" s="3">
        <v>901352708</v>
      </c>
      <c r="O17" s="23">
        <v>-30150</v>
      </c>
      <c r="P17" s="23">
        <v>-30150</v>
      </c>
      <c r="Q17" s="22">
        <f t="shared" si="0"/>
        <v>0.10000895522388059</v>
      </c>
      <c r="R17" s="23">
        <v>-3015.27</v>
      </c>
      <c r="S17" s="3">
        <v>-346.73</v>
      </c>
      <c r="T17" s="23">
        <v>-3362</v>
      </c>
      <c r="U17" s="40" t="s">
        <v>39</v>
      </c>
      <c r="V17" s="40" t="s">
        <v>41</v>
      </c>
      <c r="W17" s="40" t="s">
        <v>21</v>
      </c>
      <c r="X17" s="40" t="s">
        <v>66</v>
      </c>
      <c r="Y17" s="10" t="s">
        <v>116</v>
      </c>
      <c r="Z17" s="4" t="s">
        <v>41</v>
      </c>
      <c r="AA17" s="4" t="s">
        <v>41</v>
      </c>
      <c r="AB17" s="4" t="s">
        <v>41</v>
      </c>
    </row>
    <row r="18" spans="1:28" hidden="1" x14ac:dyDescent="0.35">
      <c r="A18" s="4" t="s">
        <v>35</v>
      </c>
      <c r="B18" s="4" t="s">
        <v>36</v>
      </c>
      <c r="C18" s="4" t="s">
        <v>1</v>
      </c>
      <c r="D18" s="3">
        <v>151000015</v>
      </c>
      <c r="E18" s="4" t="s">
        <v>16</v>
      </c>
      <c r="F18" s="4" t="s">
        <v>63</v>
      </c>
      <c r="G18" s="47" t="s">
        <v>115</v>
      </c>
      <c r="H18" s="3">
        <v>40046</v>
      </c>
      <c r="I18" s="4" t="s">
        <v>19</v>
      </c>
      <c r="J18" s="3">
        <v>28070010</v>
      </c>
      <c r="K18" s="4" t="s">
        <v>38</v>
      </c>
      <c r="L18" s="3">
        <v>11193334</v>
      </c>
      <c r="M18" s="3">
        <v>801148635</v>
      </c>
      <c r="N18" s="3">
        <v>901352709</v>
      </c>
      <c r="O18" s="23">
        <v>30150</v>
      </c>
      <c r="P18" s="23">
        <v>30150</v>
      </c>
      <c r="Q18" s="22">
        <f t="shared" si="0"/>
        <v>0.10000796019900497</v>
      </c>
      <c r="R18" s="23">
        <v>3015.24</v>
      </c>
      <c r="S18" s="3">
        <v>150.76</v>
      </c>
      <c r="T18" s="23">
        <v>3166</v>
      </c>
      <c r="U18" s="40" t="s">
        <v>39</v>
      </c>
      <c r="V18" s="41">
        <v>14</v>
      </c>
      <c r="W18" s="40" t="s">
        <v>21</v>
      </c>
      <c r="X18" s="40" t="s">
        <v>41</v>
      </c>
      <c r="Y18" s="10" t="s">
        <v>116</v>
      </c>
      <c r="Z18" s="4" t="s">
        <v>41</v>
      </c>
      <c r="AA18" s="4" t="s">
        <v>41</v>
      </c>
      <c r="AB18" s="4" t="s">
        <v>41</v>
      </c>
    </row>
    <row r="19" spans="1:28" hidden="1" x14ac:dyDescent="0.35">
      <c r="A19" s="4" t="s">
        <v>35</v>
      </c>
      <c r="B19" s="4" t="s">
        <v>23</v>
      </c>
      <c r="C19" s="4" t="s">
        <v>1</v>
      </c>
      <c r="D19" s="3">
        <v>151000015</v>
      </c>
      <c r="E19" s="4" t="s">
        <v>16</v>
      </c>
      <c r="F19" s="4" t="s">
        <v>73</v>
      </c>
      <c r="G19" s="47" t="s">
        <v>117</v>
      </c>
      <c r="H19" s="3">
        <v>40058</v>
      </c>
      <c r="I19" s="4" t="s">
        <v>43</v>
      </c>
      <c r="J19" s="3">
        <v>28070010</v>
      </c>
      <c r="K19" s="4" t="s">
        <v>38</v>
      </c>
      <c r="L19" s="3">
        <v>11193778</v>
      </c>
      <c r="M19" s="3">
        <v>801149033</v>
      </c>
      <c r="N19" s="3">
        <v>901353547</v>
      </c>
      <c r="O19" s="23">
        <v>11240</v>
      </c>
      <c r="P19" s="23">
        <v>11240</v>
      </c>
      <c r="Q19" s="22">
        <f t="shared" si="0"/>
        <v>9.9982206405693941E-2</v>
      </c>
      <c r="R19" s="23">
        <v>1123.8</v>
      </c>
      <c r="S19" s="3">
        <v>56.2</v>
      </c>
      <c r="T19" s="23">
        <v>1180</v>
      </c>
      <c r="U19" s="40" t="s">
        <v>39</v>
      </c>
      <c r="V19" s="41">
        <v>208</v>
      </c>
      <c r="W19" s="40" t="s">
        <v>81</v>
      </c>
      <c r="X19" s="40" t="s">
        <v>66</v>
      </c>
      <c r="Y19" s="10" t="s">
        <v>116</v>
      </c>
      <c r="Z19" s="4" t="s">
        <v>41</v>
      </c>
      <c r="AA19" s="4" t="s">
        <v>41</v>
      </c>
      <c r="AB19" s="4" t="s">
        <v>41</v>
      </c>
    </row>
    <row r="20" spans="1:28" hidden="1" x14ac:dyDescent="0.35">
      <c r="A20" s="4" t="s">
        <v>65</v>
      </c>
      <c r="B20" s="4" t="s">
        <v>23</v>
      </c>
      <c r="C20" s="4" t="s">
        <v>1</v>
      </c>
      <c r="D20" s="3">
        <v>151000015</v>
      </c>
      <c r="E20" s="4" t="s">
        <v>16</v>
      </c>
      <c r="F20" s="4" t="s">
        <v>73</v>
      </c>
      <c r="G20" s="47" t="s">
        <v>117</v>
      </c>
      <c r="H20" s="3">
        <v>40058</v>
      </c>
      <c r="I20" s="4" t="s">
        <v>43</v>
      </c>
      <c r="J20" s="3">
        <v>28070010</v>
      </c>
      <c r="K20" s="4" t="s">
        <v>38</v>
      </c>
      <c r="L20" s="3">
        <v>11193778</v>
      </c>
      <c r="M20" s="3">
        <v>801149033</v>
      </c>
      <c r="N20" s="3">
        <v>901353548</v>
      </c>
      <c r="O20" s="23">
        <v>-11240</v>
      </c>
      <c r="P20" s="23">
        <v>-11240</v>
      </c>
      <c r="Q20" s="22">
        <f t="shared" si="0"/>
        <v>9.9982206405693941E-2</v>
      </c>
      <c r="R20" s="23">
        <v>-1123.8</v>
      </c>
      <c r="S20" s="3">
        <v>-56.2</v>
      </c>
      <c r="T20" s="23">
        <v>-1180</v>
      </c>
      <c r="U20" s="40" t="s">
        <v>39</v>
      </c>
      <c r="V20" s="40" t="s">
        <v>41</v>
      </c>
      <c r="W20" s="40" t="s">
        <v>81</v>
      </c>
      <c r="X20" s="40" t="s">
        <v>66</v>
      </c>
      <c r="Y20" s="10" t="s">
        <v>116</v>
      </c>
      <c r="Z20" s="4" t="s">
        <v>41</v>
      </c>
      <c r="AA20" s="4" t="s">
        <v>41</v>
      </c>
      <c r="AB20" s="4" t="s">
        <v>41</v>
      </c>
    </row>
    <row r="21" spans="1:28" hidden="1" x14ac:dyDescent="0.35">
      <c r="A21" s="4" t="s">
        <v>35</v>
      </c>
      <c r="B21" s="4" t="s">
        <v>23</v>
      </c>
      <c r="C21" s="4" t="s">
        <v>1</v>
      </c>
      <c r="D21" s="3">
        <v>151000015</v>
      </c>
      <c r="E21" s="4" t="s">
        <v>16</v>
      </c>
      <c r="F21" s="4" t="s">
        <v>74</v>
      </c>
      <c r="G21" s="47" t="s">
        <v>117</v>
      </c>
      <c r="H21" s="3">
        <v>40058</v>
      </c>
      <c r="I21" s="4" t="s">
        <v>43</v>
      </c>
      <c r="J21" s="3">
        <v>28070010</v>
      </c>
      <c r="K21" s="4" t="s">
        <v>38</v>
      </c>
      <c r="L21" s="3">
        <v>11193778</v>
      </c>
      <c r="M21" s="3">
        <v>801149035</v>
      </c>
      <c r="N21" s="3">
        <v>901353549</v>
      </c>
      <c r="O21" s="23">
        <v>11240</v>
      </c>
      <c r="P21" s="23">
        <v>11240</v>
      </c>
      <c r="Q21" s="22">
        <f t="shared" si="0"/>
        <v>9.9982206405693941E-2</v>
      </c>
      <c r="R21" s="23">
        <v>1123.8</v>
      </c>
      <c r="S21" s="3">
        <v>56.2</v>
      </c>
      <c r="T21" s="23">
        <v>1180</v>
      </c>
      <c r="U21" s="40" t="s">
        <v>39</v>
      </c>
      <c r="V21" s="41">
        <v>208</v>
      </c>
      <c r="W21" s="40" t="s">
        <v>81</v>
      </c>
      <c r="X21" s="40" t="s">
        <v>66</v>
      </c>
      <c r="Y21" s="10" t="s">
        <v>116</v>
      </c>
      <c r="Z21" s="4" t="s">
        <v>41</v>
      </c>
      <c r="AA21" s="4" t="s">
        <v>41</v>
      </c>
      <c r="AB21" s="4" t="s">
        <v>41</v>
      </c>
    </row>
    <row r="22" spans="1:28" hidden="1" x14ac:dyDescent="0.35">
      <c r="A22" s="4" t="s">
        <v>65</v>
      </c>
      <c r="B22" s="4" t="s">
        <v>23</v>
      </c>
      <c r="C22" s="4" t="s">
        <v>1</v>
      </c>
      <c r="D22" s="3">
        <v>151000015</v>
      </c>
      <c r="E22" s="4" t="s">
        <v>16</v>
      </c>
      <c r="F22" s="4" t="s">
        <v>74</v>
      </c>
      <c r="G22" s="47" t="s">
        <v>117</v>
      </c>
      <c r="H22" s="3">
        <v>40058</v>
      </c>
      <c r="I22" s="4" t="s">
        <v>43</v>
      </c>
      <c r="J22" s="3">
        <v>28070010</v>
      </c>
      <c r="K22" s="4" t="s">
        <v>38</v>
      </c>
      <c r="L22" s="3">
        <v>11193778</v>
      </c>
      <c r="M22" s="3">
        <v>801149035</v>
      </c>
      <c r="N22" s="3">
        <v>901353563</v>
      </c>
      <c r="O22" s="23">
        <v>-11240</v>
      </c>
      <c r="P22" s="23">
        <v>-11240</v>
      </c>
      <c r="Q22" s="22">
        <f t="shared" si="0"/>
        <v>9.9982206405693941E-2</v>
      </c>
      <c r="R22" s="23">
        <v>-1123.8</v>
      </c>
      <c r="S22" s="3">
        <v>-56.2</v>
      </c>
      <c r="T22" s="23">
        <v>-1180</v>
      </c>
      <c r="U22" s="40" t="s">
        <v>39</v>
      </c>
      <c r="V22" s="40" t="s">
        <v>41</v>
      </c>
      <c r="W22" s="40" t="s">
        <v>81</v>
      </c>
      <c r="X22" s="40" t="s">
        <v>66</v>
      </c>
      <c r="Y22" s="10" t="s">
        <v>116</v>
      </c>
      <c r="Z22" s="4" t="s">
        <v>41</v>
      </c>
      <c r="AA22" s="4" t="s">
        <v>41</v>
      </c>
      <c r="AB22" s="4" t="s">
        <v>41</v>
      </c>
    </row>
    <row r="23" spans="1:28" hidden="1" x14ac:dyDescent="0.35">
      <c r="A23" s="4" t="s">
        <v>35</v>
      </c>
      <c r="B23" s="4" t="s">
        <v>23</v>
      </c>
      <c r="C23" s="4" t="s">
        <v>1</v>
      </c>
      <c r="D23" s="3">
        <v>151000015</v>
      </c>
      <c r="E23" s="4" t="s">
        <v>16</v>
      </c>
      <c r="F23" s="4" t="s">
        <v>75</v>
      </c>
      <c r="G23" s="47" t="s">
        <v>117</v>
      </c>
      <c r="H23" s="3">
        <v>40058</v>
      </c>
      <c r="I23" s="4" t="s">
        <v>43</v>
      </c>
      <c r="J23" s="3">
        <v>28070010</v>
      </c>
      <c r="K23" s="4" t="s">
        <v>38</v>
      </c>
      <c r="L23" s="3">
        <v>11193778</v>
      </c>
      <c r="M23" s="3">
        <v>801149043</v>
      </c>
      <c r="N23" s="3">
        <v>901353564</v>
      </c>
      <c r="O23" s="23">
        <v>11240</v>
      </c>
      <c r="P23" s="23">
        <v>11240</v>
      </c>
      <c r="Q23" s="22">
        <f t="shared" si="0"/>
        <v>2</v>
      </c>
      <c r="R23" s="23">
        <v>22480</v>
      </c>
      <c r="S23" s="23">
        <v>1124</v>
      </c>
      <c r="T23" s="23">
        <v>23604</v>
      </c>
      <c r="U23" s="40" t="s">
        <v>39</v>
      </c>
      <c r="V23" s="40" t="s">
        <v>41</v>
      </c>
      <c r="W23" s="40" t="s">
        <v>81</v>
      </c>
      <c r="X23" s="40" t="s">
        <v>41</v>
      </c>
      <c r="Y23" s="10" t="s">
        <v>116</v>
      </c>
      <c r="Z23" s="4" t="s">
        <v>41</v>
      </c>
      <c r="AA23" s="4" t="s">
        <v>41</v>
      </c>
      <c r="AB23" s="4" t="s">
        <v>41</v>
      </c>
    </row>
    <row r="24" spans="1:28" hidden="1" x14ac:dyDescent="0.35">
      <c r="A24" s="4" t="s">
        <v>35</v>
      </c>
      <c r="B24" s="4" t="s">
        <v>23</v>
      </c>
      <c r="C24" s="4" t="s">
        <v>1</v>
      </c>
      <c r="D24" s="3">
        <v>151000013</v>
      </c>
      <c r="E24" s="4" t="s">
        <v>18</v>
      </c>
      <c r="F24" s="4" t="s">
        <v>76</v>
      </c>
      <c r="G24" s="47" t="s">
        <v>118</v>
      </c>
      <c r="H24" s="3">
        <v>40056</v>
      </c>
      <c r="I24" s="4" t="s">
        <v>24</v>
      </c>
      <c r="J24" s="3">
        <v>84818030</v>
      </c>
      <c r="K24" s="4" t="s">
        <v>38</v>
      </c>
      <c r="L24" s="3">
        <v>11193873</v>
      </c>
      <c r="M24" s="3">
        <v>801149103</v>
      </c>
      <c r="N24" s="3">
        <v>901353713</v>
      </c>
      <c r="O24" s="23">
        <v>27890</v>
      </c>
      <c r="P24" s="23">
        <v>27890</v>
      </c>
      <c r="Q24" s="22">
        <f t="shared" si="0"/>
        <v>9.999928289709574E-2</v>
      </c>
      <c r="R24" s="23">
        <v>2788.98</v>
      </c>
      <c r="S24" s="3">
        <v>502.02</v>
      </c>
      <c r="T24" s="23">
        <v>3291</v>
      </c>
      <c r="U24" s="40" t="s">
        <v>39</v>
      </c>
      <c r="V24" s="40" t="s">
        <v>41</v>
      </c>
      <c r="W24" s="40" t="s">
        <v>82</v>
      </c>
      <c r="X24" s="40" t="s">
        <v>41</v>
      </c>
      <c r="Y24" s="10" t="s">
        <v>90</v>
      </c>
      <c r="Z24" s="4" t="s">
        <v>41</v>
      </c>
      <c r="AA24" s="4" t="s">
        <v>41</v>
      </c>
      <c r="AB24" s="4" t="s">
        <v>41</v>
      </c>
    </row>
    <row r="25" spans="1:28" hidden="1" x14ac:dyDescent="0.35">
      <c r="A25" s="4" t="s">
        <v>68</v>
      </c>
      <c r="B25" s="4" t="s">
        <v>23</v>
      </c>
      <c r="C25" s="4" t="s">
        <v>69</v>
      </c>
      <c r="D25" s="3">
        <v>100000946</v>
      </c>
      <c r="E25" s="4" t="s">
        <v>72</v>
      </c>
      <c r="F25" s="4" t="s">
        <v>77</v>
      </c>
      <c r="G25" s="47" t="s">
        <v>119</v>
      </c>
      <c r="H25" s="3">
        <v>40050</v>
      </c>
      <c r="I25" s="4" t="s">
        <v>70</v>
      </c>
      <c r="J25" s="3">
        <v>28539090</v>
      </c>
      <c r="K25" s="50">
        <v>5210010956</v>
      </c>
      <c r="L25" s="3">
        <v>11194054</v>
      </c>
      <c r="M25" s="3">
        <v>801149253</v>
      </c>
      <c r="N25" s="3">
        <v>901353975</v>
      </c>
      <c r="O25" s="23">
        <v>541053</v>
      </c>
      <c r="P25" s="23">
        <v>541053</v>
      </c>
      <c r="Q25" s="22">
        <f t="shared" si="0"/>
        <v>2.7000002587546876</v>
      </c>
      <c r="R25" s="23">
        <v>1460843.24</v>
      </c>
      <c r="S25" s="23">
        <v>262951.76</v>
      </c>
      <c r="T25" s="23">
        <v>1723795</v>
      </c>
      <c r="U25" s="40" t="s">
        <v>39</v>
      </c>
      <c r="V25" s="40" t="s">
        <v>41</v>
      </c>
      <c r="W25" s="40" t="s">
        <v>83</v>
      </c>
      <c r="X25" s="40" t="s">
        <v>41</v>
      </c>
      <c r="Y25" s="10" t="s">
        <v>41</v>
      </c>
      <c r="Z25" s="4" t="s">
        <v>41</v>
      </c>
      <c r="AA25" s="4" t="s">
        <v>41</v>
      </c>
      <c r="AB25" s="4" t="s">
        <v>41</v>
      </c>
    </row>
    <row r="26" spans="1:28" hidden="1" x14ac:dyDescent="0.35">
      <c r="A26" s="4" t="s">
        <v>68</v>
      </c>
      <c r="B26" s="4" t="s">
        <v>23</v>
      </c>
      <c r="C26" s="4" t="s">
        <v>69</v>
      </c>
      <c r="D26" s="3">
        <v>100000946</v>
      </c>
      <c r="E26" s="4" t="s">
        <v>72</v>
      </c>
      <c r="F26" s="4" t="s">
        <v>78</v>
      </c>
      <c r="G26" s="47" t="s">
        <v>119</v>
      </c>
      <c r="H26" s="3">
        <v>40050</v>
      </c>
      <c r="I26" s="4" t="s">
        <v>70</v>
      </c>
      <c r="J26" s="3">
        <v>28539090</v>
      </c>
      <c r="K26" s="50">
        <v>5210012384</v>
      </c>
      <c r="L26" s="3">
        <v>11194056</v>
      </c>
      <c r="M26" s="3">
        <v>801149256</v>
      </c>
      <c r="N26" s="3">
        <v>901353986</v>
      </c>
      <c r="O26" s="23">
        <v>2054164</v>
      </c>
      <c r="P26" s="23">
        <v>2054164</v>
      </c>
      <c r="Q26" s="22">
        <f t="shared" si="0"/>
        <v>3.2500000292089628</v>
      </c>
      <c r="R26" s="23">
        <v>6676033.0599999996</v>
      </c>
      <c r="S26" s="23">
        <v>1201685.94</v>
      </c>
      <c r="T26" s="23">
        <v>7877719</v>
      </c>
      <c r="U26" s="40" t="s">
        <v>39</v>
      </c>
      <c r="V26" s="40" t="s">
        <v>41</v>
      </c>
      <c r="W26" s="40" t="s">
        <v>83</v>
      </c>
      <c r="X26" s="40" t="s">
        <v>41</v>
      </c>
      <c r="Y26" s="10" t="s">
        <v>41</v>
      </c>
      <c r="Z26" s="4" t="s">
        <v>41</v>
      </c>
      <c r="AA26" s="4" t="s">
        <v>41</v>
      </c>
      <c r="AB26" s="4" t="s">
        <v>41</v>
      </c>
    </row>
    <row r="27" spans="1:28" hidden="1" x14ac:dyDescent="0.35">
      <c r="A27" s="4" t="s">
        <v>68</v>
      </c>
      <c r="B27" s="4" t="s">
        <v>23</v>
      </c>
      <c r="C27" s="4" t="s">
        <v>69</v>
      </c>
      <c r="D27" s="3">
        <v>100000946</v>
      </c>
      <c r="E27" s="4" t="s">
        <v>72</v>
      </c>
      <c r="F27" s="4" t="s">
        <v>79</v>
      </c>
      <c r="G27" s="47" t="s">
        <v>119</v>
      </c>
      <c r="H27" s="3">
        <v>40050</v>
      </c>
      <c r="I27" s="4" t="s">
        <v>70</v>
      </c>
      <c r="J27" s="3">
        <v>28539090</v>
      </c>
      <c r="K27" s="50">
        <v>5210010956</v>
      </c>
      <c r="L27" s="3">
        <v>11194092</v>
      </c>
      <c r="M27" s="3">
        <v>801149292</v>
      </c>
      <c r="N27" s="3">
        <v>901354216</v>
      </c>
      <c r="O27" s="23">
        <v>182786</v>
      </c>
      <c r="P27" s="23">
        <v>182786</v>
      </c>
      <c r="Q27" s="22">
        <f t="shared" si="0"/>
        <v>2.6999989058242972</v>
      </c>
      <c r="R27" s="23">
        <v>493522</v>
      </c>
      <c r="S27" s="23">
        <v>88834</v>
      </c>
      <c r="T27" s="23">
        <v>582356</v>
      </c>
      <c r="U27" s="40" t="s">
        <v>39</v>
      </c>
      <c r="V27" s="40" t="s">
        <v>41</v>
      </c>
      <c r="W27" s="40" t="s">
        <v>83</v>
      </c>
      <c r="X27" s="40" t="s">
        <v>41</v>
      </c>
      <c r="Y27" s="10" t="s">
        <v>41</v>
      </c>
      <c r="Z27" s="4" t="s">
        <v>41</v>
      </c>
      <c r="AA27" s="4" t="s">
        <v>41</v>
      </c>
      <c r="AB27" s="4" t="s">
        <v>41</v>
      </c>
    </row>
    <row r="28" spans="1:28" hidden="1" x14ac:dyDescent="0.35">
      <c r="A28" s="4" t="s">
        <v>35</v>
      </c>
      <c r="B28" s="4" t="s">
        <v>23</v>
      </c>
      <c r="C28" s="4" t="s">
        <v>1</v>
      </c>
      <c r="D28" s="3">
        <v>151000015</v>
      </c>
      <c r="E28" s="4" t="s">
        <v>16</v>
      </c>
      <c r="F28" s="4" t="s">
        <v>80</v>
      </c>
      <c r="G28" s="47" t="s">
        <v>120</v>
      </c>
      <c r="H28" s="3">
        <v>40067</v>
      </c>
      <c r="I28" s="4" t="s">
        <v>71</v>
      </c>
      <c r="J28" s="3">
        <v>28070010</v>
      </c>
      <c r="K28" s="4" t="s">
        <v>38</v>
      </c>
      <c r="L28" s="3">
        <v>11195062</v>
      </c>
      <c r="M28" s="3">
        <v>801150443</v>
      </c>
      <c r="N28" s="3">
        <v>901358452</v>
      </c>
      <c r="O28" s="23">
        <v>28150</v>
      </c>
      <c r="P28" s="23">
        <v>28150</v>
      </c>
      <c r="Q28" s="22">
        <f t="shared" si="0"/>
        <v>2.5000085257548847</v>
      </c>
      <c r="R28" s="23">
        <v>70375.240000000005</v>
      </c>
      <c r="S28" s="23">
        <v>3518.76</v>
      </c>
      <c r="T28" s="23">
        <v>73894</v>
      </c>
      <c r="U28" s="40" t="s">
        <v>39</v>
      </c>
      <c r="V28" s="41">
        <v>417</v>
      </c>
      <c r="W28" s="40" t="s">
        <v>84</v>
      </c>
      <c r="X28" s="40" t="s">
        <v>41</v>
      </c>
      <c r="Y28" s="10" t="s">
        <v>121</v>
      </c>
      <c r="Z28" s="4" t="s">
        <v>41</v>
      </c>
      <c r="AA28" s="4" t="s">
        <v>41</v>
      </c>
      <c r="AB28" s="4" t="s">
        <v>41</v>
      </c>
    </row>
    <row r="29" spans="1:28" hidden="1" x14ac:dyDescent="0.35">
      <c r="A29" s="4" t="s">
        <v>35</v>
      </c>
      <c r="B29" s="4" t="s">
        <v>23</v>
      </c>
      <c r="C29" s="4" t="s">
        <v>1</v>
      </c>
      <c r="D29" s="3">
        <v>151000015</v>
      </c>
      <c r="E29" s="4" t="s">
        <v>16</v>
      </c>
      <c r="F29" s="4" t="s">
        <v>85</v>
      </c>
      <c r="G29" s="47" t="s">
        <v>122</v>
      </c>
      <c r="H29" s="3">
        <v>40046</v>
      </c>
      <c r="I29" s="4" t="s">
        <v>19</v>
      </c>
      <c r="J29" s="3">
        <v>28070010</v>
      </c>
      <c r="K29" s="4" t="s">
        <v>38</v>
      </c>
      <c r="L29" s="3">
        <v>11195780</v>
      </c>
      <c r="M29" s="3">
        <v>801151057</v>
      </c>
      <c r="N29" s="3">
        <v>901361815</v>
      </c>
      <c r="O29" s="23">
        <v>25100</v>
      </c>
      <c r="P29" s="23">
        <v>25100</v>
      </c>
      <c r="Q29" s="22">
        <f t="shared" si="0"/>
        <v>0.1000199203187251</v>
      </c>
      <c r="R29" s="23">
        <v>2510.5</v>
      </c>
      <c r="S29" s="3">
        <v>125.5</v>
      </c>
      <c r="T29" s="23">
        <v>2636</v>
      </c>
      <c r="U29" s="40" t="s">
        <v>39</v>
      </c>
      <c r="V29" s="41">
        <v>6</v>
      </c>
      <c r="W29" s="40" t="s">
        <v>123</v>
      </c>
      <c r="X29" s="40" t="s">
        <v>41</v>
      </c>
      <c r="Y29" s="10" t="s">
        <v>124</v>
      </c>
      <c r="Z29" s="4" t="s">
        <v>41</v>
      </c>
      <c r="AA29" s="4" t="s">
        <v>41</v>
      </c>
      <c r="AB29" s="4" t="s">
        <v>41</v>
      </c>
    </row>
    <row r="30" spans="1:28" hidden="1" x14ac:dyDescent="0.35">
      <c r="A30" s="4" t="s">
        <v>35</v>
      </c>
      <c r="B30" s="4" t="s">
        <v>23</v>
      </c>
      <c r="C30" s="4" t="s">
        <v>1</v>
      </c>
      <c r="D30" s="3">
        <v>151000015</v>
      </c>
      <c r="E30" s="4" t="s">
        <v>16</v>
      </c>
      <c r="F30" s="4" t="s">
        <v>86</v>
      </c>
      <c r="G30" s="47" t="s">
        <v>125</v>
      </c>
      <c r="H30" s="3">
        <v>40046</v>
      </c>
      <c r="I30" s="4" t="s">
        <v>19</v>
      </c>
      <c r="J30" s="3">
        <v>28070010</v>
      </c>
      <c r="K30" s="4" t="s">
        <v>38</v>
      </c>
      <c r="L30" s="3">
        <v>11195871</v>
      </c>
      <c r="M30" s="3">
        <v>801151081</v>
      </c>
      <c r="N30" s="3">
        <v>901362255</v>
      </c>
      <c r="O30" s="23">
        <v>25600</v>
      </c>
      <c r="P30" s="23">
        <v>25600</v>
      </c>
      <c r="Q30" s="22">
        <f t="shared" si="0"/>
        <v>0.1</v>
      </c>
      <c r="R30" s="23">
        <v>2560</v>
      </c>
      <c r="S30" s="3">
        <v>128</v>
      </c>
      <c r="T30" s="23">
        <v>2688</v>
      </c>
      <c r="U30" s="40" t="s">
        <v>39</v>
      </c>
      <c r="V30" s="41">
        <v>15</v>
      </c>
      <c r="W30" s="40" t="s">
        <v>123</v>
      </c>
      <c r="X30" s="40" t="s">
        <v>41</v>
      </c>
      <c r="Y30" s="10" t="s">
        <v>124</v>
      </c>
      <c r="Z30" s="4" t="s">
        <v>41</v>
      </c>
      <c r="AA30" s="4" t="s">
        <v>41</v>
      </c>
      <c r="AB30" s="4" t="s">
        <v>41</v>
      </c>
    </row>
    <row r="31" spans="1:28" s="13" customFormat="1" hidden="1" x14ac:dyDescent="0.35">
      <c r="A31" s="4" t="s">
        <v>35</v>
      </c>
      <c r="B31" s="4" t="s">
        <v>23</v>
      </c>
      <c r="C31" s="4" t="s">
        <v>1</v>
      </c>
      <c r="D31" s="3">
        <v>151000013</v>
      </c>
      <c r="E31" s="4" t="s">
        <v>18</v>
      </c>
      <c r="F31" s="4" t="s">
        <v>87</v>
      </c>
      <c r="G31" s="47" t="s">
        <v>88</v>
      </c>
      <c r="H31" s="3">
        <v>40058</v>
      </c>
      <c r="I31" s="4" t="s">
        <v>43</v>
      </c>
      <c r="J31" s="3">
        <v>84818030</v>
      </c>
      <c r="K31" s="4" t="s">
        <v>38</v>
      </c>
      <c r="L31" s="3">
        <v>11196166</v>
      </c>
      <c r="M31" s="3">
        <v>801151330</v>
      </c>
      <c r="N31" s="3">
        <v>901363687</v>
      </c>
      <c r="O31" s="23">
        <v>32230</v>
      </c>
      <c r="P31" s="23">
        <v>32230</v>
      </c>
      <c r="Q31" s="22">
        <f t="shared" si="0"/>
        <v>9.9995656220912194E-2</v>
      </c>
      <c r="R31" s="23">
        <v>3222.86</v>
      </c>
      <c r="S31" s="3">
        <v>580.14</v>
      </c>
      <c r="T31" s="23">
        <v>3803</v>
      </c>
      <c r="U31" s="40" t="s">
        <v>39</v>
      </c>
      <c r="V31" s="40" t="s">
        <v>41</v>
      </c>
      <c r="W31" s="40" t="s">
        <v>89</v>
      </c>
      <c r="X31" s="40" t="s">
        <v>41</v>
      </c>
      <c r="Y31" s="10" t="s">
        <v>90</v>
      </c>
      <c r="Z31" s="4" t="s">
        <v>41</v>
      </c>
      <c r="AA31" s="4" t="s">
        <v>41</v>
      </c>
      <c r="AB31" s="4" t="s">
        <v>41</v>
      </c>
    </row>
    <row r="32" spans="1:28" hidden="1" x14ac:dyDescent="0.35">
      <c r="A32" s="4" t="s">
        <v>35</v>
      </c>
      <c r="B32" s="4" t="s">
        <v>23</v>
      </c>
      <c r="C32" s="4" t="s">
        <v>1</v>
      </c>
      <c r="D32" s="3">
        <v>151000013</v>
      </c>
      <c r="E32" s="4" t="s">
        <v>18</v>
      </c>
      <c r="F32" s="4" t="s">
        <v>126</v>
      </c>
      <c r="G32" s="48">
        <v>46168</v>
      </c>
      <c r="H32" s="3">
        <v>40058</v>
      </c>
      <c r="I32" s="4" t="s">
        <v>43</v>
      </c>
      <c r="J32" s="3">
        <v>84818030</v>
      </c>
      <c r="K32" s="4" t="s">
        <v>38</v>
      </c>
      <c r="L32" s="3">
        <v>11197821</v>
      </c>
      <c r="M32" s="3">
        <v>801153107</v>
      </c>
      <c r="N32" s="3">
        <v>901366937</v>
      </c>
      <c r="O32" s="30">
        <v>32010</v>
      </c>
      <c r="P32" s="30">
        <v>32010</v>
      </c>
      <c r="Q32" s="65">
        <f t="shared" si="0"/>
        <v>9.9994376757263359E-2</v>
      </c>
      <c r="R32" s="30">
        <v>3200.82</v>
      </c>
      <c r="S32" s="30">
        <v>576.17999999999995</v>
      </c>
      <c r="T32" s="30">
        <v>3777</v>
      </c>
      <c r="U32" s="40" t="s">
        <v>39</v>
      </c>
      <c r="V32" s="40" t="s">
        <v>127</v>
      </c>
      <c r="W32" s="40" t="s">
        <v>89</v>
      </c>
      <c r="X32" s="40" t="s">
        <v>41</v>
      </c>
      <c r="Y32" s="10" t="s">
        <v>128</v>
      </c>
      <c r="Z32" s="24"/>
      <c r="AA32" s="24"/>
      <c r="AB32" s="27"/>
    </row>
    <row r="33" spans="1:28" hidden="1" x14ac:dyDescent="0.35">
      <c r="A33" s="4" t="s">
        <v>35</v>
      </c>
      <c r="B33" s="4" t="s">
        <v>23</v>
      </c>
      <c r="C33" s="4" t="s">
        <v>1</v>
      </c>
      <c r="D33" s="3">
        <v>151000015</v>
      </c>
      <c r="E33" s="4" t="s">
        <v>16</v>
      </c>
      <c r="F33" s="4" t="s">
        <v>129</v>
      </c>
      <c r="G33" s="48">
        <v>46169</v>
      </c>
      <c r="H33" s="3">
        <v>40046</v>
      </c>
      <c r="I33" s="4" t="s">
        <v>19</v>
      </c>
      <c r="J33" s="3">
        <v>28070010</v>
      </c>
      <c r="K33" s="4" t="s">
        <v>38</v>
      </c>
      <c r="L33" s="3">
        <v>11198204</v>
      </c>
      <c r="M33" s="3">
        <v>801153781</v>
      </c>
      <c r="N33" s="3">
        <v>901367952</v>
      </c>
      <c r="O33" s="30">
        <v>30290</v>
      </c>
      <c r="P33" s="30">
        <v>30290</v>
      </c>
      <c r="Q33" s="65">
        <v>9.9984813469792003E-2</v>
      </c>
      <c r="R33" s="30">
        <v>3028.54</v>
      </c>
      <c r="S33" s="30">
        <v>151.46</v>
      </c>
      <c r="T33" s="30">
        <v>3180</v>
      </c>
      <c r="U33" s="40" t="s">
        <v>39</v>
      </c>
      <c r="V33" s="40" t="s">
        <v>41</v>
      </c>
      <c r="W33" s="40" t="s">
        <v>130</v>
      </c>
      <c r="X33" s="40" t="s">
        <v>41</v>
      </c>
      <c r="Y33" s="10" t="s">
        <v>124</v>
      </c>
      <c r="Z33" s="24"/>
      <c r="AA33" s="24"/>
      <c r="AB33" s="4" t="s">
        <v>41</v>
      </c>
    </row>
    <row r="34" spans="1:28" hidden="1" x14ac:dyDescent="0.35">
      <c r="A34" s="4" t="s">
        <v>68</v>
      </c>
      <c r="B34" s="4" t="s">
        <v>23</v>
      </c>
      <c r="C34" s="4" t="s">
        <v>3</v>
      </c>
      <c r="D34" s="3">
        <v>100000874</v>
      </c>
      <c r="E34" s="4" t="s">
        <v>131</v>
      </c>
      <c r="F34" s="4" t="s">
        <v>132</v>
      </c>
      <c r="G34" s="48">
        <v>46171</v>
      </c>
      <c r="H34" s="3">
        <v>40069</v>
      </c>
      <c r="I34" s="4" t="s">
        <v>133</v>
      </c>
      <c r="J34" s="3">
        <v>29222990</v>
      </c>
      <c r="K34" s="4" t="s">
        <v>134</v>
      </c>
      <c r="L34" s="3">
        <v>11199289</v>
      </c>
      <c r="M34" s="3">
        <v>801154484</v>
      </c>
      <c r="N34" s="3">
        <v>901369072</v>
      </c>
      <c r="O34" s="30">
        <v>50</v>
      </c>
      <c r="P34" s="30">
        <v>50</v>
      </c>
      <c r="Q34" s="30">
        <v>1710</v>
      </c>
      <c r="R34" s="30">
        <v>85500</v>
      </c>
      <c r="S34" s="30">
        <v>15390</v>
      </c>
      <c r="T34" s="30">
        <v>100890</v>
      </c>
      <c r="U34" s="40" t="s">
        <v>39</v>
      </c>
      <c r="V34" s="40" t="s">
        <v>41</v>
      </c>
      <c r="W34" s="40" t="s">
        <v>135</v>
      </c>
      <c r="X34" s="40" t="s">
        <v>41</v>
      </c>
      <c r="Y34" s="34">
        <v>260303</v>
      </c>
      <c r="Z34" s="24">
        <v>46101</v>
      </c>
      <c r="AA34" s="24">
        <v>46446</v>
      </c>
      <c r="AB34" s="4" t="s">
        <v>41</v>
      </c>
    </row>
    <row r="35" spans="1:28" hidden="1" x14ac:dyDescent="0.35">
      <c r="A35" s="4" t="s">
        <v>68</v>
      </c>
      <c r="B35" s="4" t="s">
        <v>23</v>
      </c>
      <c r="C35" s="4" t="s">
        <v>3</v>
      </c>
      <c r="D35" s="3">
        <v>100000874</v>
      </c>
      <c r="E35" s="4" t="s">
        <v>131</v>
      </c>
      <c r="F35" s="4" t="s">
        <v>132</v>
      </c>
      <c r="G35" s="48">
        <v>46171</v>
      </c>
      <c r="H35" s="3">
        <v>40069</v>
      </c>
      <c r="I35" s="4" t="s">
        <v>133</v>
      </c>
      <c r="J35" s="3">
        <v>29222990</v>
      </c>
      <c r="K35" s="4" t="s">
        <v>134</v>
      </c>
      <c r="L35" s="3">
        <v>11199289</v>
      </c>
      <c r="M35" s="3">
        <v>801154484</v>
      </c>
      <c r="N35" s="3">
        <v>901369072</v>
      </c>
      <c r="O35" s="30">
        <v>200</v>
      </c>
      <c r="P35" s="30">
        <v>200</v>
      </c>
      <c r="Q35" s="30">
        <v>1710</v>
      </c>
      <c r="R35" s="30">
        <v>342000</v>
      </c>
      <c r="S35" s="30">
        <v>61560</v>
      </c>
      <c r="T35" s="30">
        <v>403560</v>
      </c>
      <c r="U35" s="40" t="s">
        <v>39</v>
      </c>
      <c r="V35" s="40" t="s">
        <v>41</v>
      </c>
      <c r="W35" s="40" t="s">
        <v>135</v>
      </c>
      <c r="X35" s="40" t="s">
        <v>41</v>
      </c>
      <c r="Y35" s="34">
        <v>260304</v>
      </c>
      <c r="Z35" s="24">
        <v>46104</v>
      </c>
      <c r="AA35" s="24">
        <v>46446</v>
      </c>
      <c r="AB35" s="4" t="s">
        <v>41</v>
      </c>
    </row>
    <row r="36" spans="1:28" hidden="1" x14ac:dyDescent="0.35">
      <c r="A36" s="4" t="s">
        <v>68</v>
      </c>
      <c r="B36" s="4" t="s">
        <v>23</v>
      </c>
      <c r="C36" s="4" t="s">
        <v>3</v>
      </c>
      <c r="D36" s="3">
        <v>100000874</v>
      </c>
      <c r="E36" s="4" t="s">
        <v>131</v>
      </c>
      <c r="F36" s="4" t="s">
        <v>132</v>
      </c>
      <c r="G36" s="48">
        <v>46171</v>
      </c>
      <c r="H36" s="3">
        <v>40069</v>
      </c>
      <c r="I36" s="4" t="s">
        <v>133</v>
      </c>
      <c r="J36" s="3">
        <v>29222990</v>
      </c>
      <c r="K36" s="4" t="s">
        <v>134</v>
      </c>
      <c r="L36" s="3">
        <v>11199289</v>
      </c>
      <c r="M36" s="3">
        <v>801154484</v>
      </c>
      <c r="N36" s="3">
        <v>901369072</v>
      </c>
      <c r="O36" s="30">
        <v>1000</v>
      </c>
      <c r="P36" s="30">
        <v>1000</v>
      </c>
      <c r="Q36" s="30">
        <v>1710</v>
      </c>
      <c r="R36" s="30">
        <v>1710000</v>
      </c>
      <c r="S36" s="30">
        <v>307800</v>
      </c>
      <c r="T36" s="30">
        <v>2017800</v>
      </c>
      <c r="U36" s="40" t="s">
        <v>39</v>
      </c>
      <c r="V36" s="40" t="s">
        <v>41</v>
      </c>
      <c r="W36" s="40" t="s">
        <v>135</v>
      </c>
      <c r="X36" s="40" t="s">
        <v>41</v>
      </c>
      <c r="Y36" s="10" t="s">
        <v>136</v>
      </c>
      <c r="Z36" s="24">
        <v>46112</v>
      </c>
      <c r="AA36" s="24">
        <v>46446</v>
      </c>
      <c r="AB36" s="4" t="s">
        <v>41</v>
      </c>
    </row>
    <row r="37" spans="1:28" hidden="1" x14ac:dyDescent="0.35">
      <c r="A37" s="4" t="s">
        <v>68</v>
      </c>
      <c r="B37" s="4" t="s">
        <v>23</v>
      </c>
      <c r="C37" s="4" t="s">
        <v>3</v>
      </c>
      <c r="D37" s="3">
        <v>100000874</v>
      </c>
      <c r="E37" s="4" t="s">
        <v>131</v>
      </c>
      <c r="F37" s="4" t="s">
        <v>132</v>
      </c>
      <c r="G37" s="48">
        <v>46171</v>
      </c>
      <c r="H37" s="3">
        <v>40069</v>
      </c>
      <c r="I37" s="4" t="s">
        <v>133</v>
      </c>
      <c r="J37" s="3">
        <v>29222990</v>
      </c>
      <c r="K37" s="4" t="s">
        <v>134</v>
      </c>
      <c r="L37" s="3">
        <v>11199289</v>
      </c>
      <c r="M37" s="3">
        <v>801154484</v>
      </c>
      <c r="N37" s="3">
        <v>901369072</v>
      </c>
      <c r="O37" s="30">
        <v>1000</v>
      </c>
      <c r="P37" s="30">
        <v>1000</v>
      </c>
      <c r="Q37" s="30">
        <v>1710</v>
      </c>
      <c r="R37" s="30">
        <v>1710000</v>
      </c>
      <c r="S37" s="30">
        <v>307800</v>
      </c>
      <c r="T37" s="30">
        <v>2017800</v>
      </c>
      <c r="U37" s="40" t="s">
        <v>39</v>
      </c>
      <c r="V37" s="40" t="s">
        <v>41</v>
      </c>
      <c r="W37" s="40" t="s">
        <v>135</v>
      </c>
      <c r="X37" s="40" t="s">
        <v>41</v>
      </c>
      <c r="Y37" s="10" t="s">
        <v>137</v>
      </c>
      <c r="Z37" s="24">
        <v>46112</v>
      </c>
      <c r="AA37" s="24">
        <v>46446</v>
      </c>
      <c r="AB37" s="4" t="s">
        <v>41</v>
      </c>
    </row>
    <row r="38" spans="1:28" hidden="1" x14ac:dyDescent="0.35">
      <c r="A38" s="4" t="s">
        <v>68</v>
      </c>
      <c r="B38" s="4" t="s">
        <v>23</v>
      </c>
      <c r="C38" s="4" t="s">
        <v>3</v>
      </c>
      <c r="D38" s="3">
        <v>100000874</v>
      </c>
      <c r="E38" s="4" t="s">
        <v>131</v>
      </c>
      <c r="F38" s="4" t="s">
        <v>132</v>
      </c>
      <c r="G38" s="48">
        <v>46171</v>
      </c>
      <c r="H38" s="3">
        <v>40069</v>
      </c>
      <c r="I38" s="4" t="s">
        <v>133</v>
      </c>
      <c r="J38" s="3">
        <v>29222990</v>
      </c>
      <c r="K38" s="4" t="s">
        <v>134</v>
      </c>
      <c r="L38" s="3">
        <v>11199289</v>
      </c>
      <c r="M38" s="3">
        <v>801154484</v>
      </c>
      <c r="N38" s="3">
        <v>901369072</v>
      </c>
      <c r="O38" s="30">
        <v>1000</v>
      </c>
      <c r="P38" s="30">
        <v>1000</v>
      </c>
      <c r="Q38" s="30">
        <v>1710</v>
      </c>
      <c r="R38" s="30">
        <v>1710000</v>
      </c>
      <c r="S38" s="30">
        <v>307800</v>
      </c>
      <c r="T38" s="30">
        <v>2017800</v>
      </c>
      <c r="U38" s="40" t="s">
        <v>39</v>
      </c>
      <c r="V38" s="40" t="s">
        <v>41</v>
      </c>
      <c r="W38" s="40" t="s">
        <v>135</v>
      </c>
      <c r="X38" s="40" t="s">
        <v>41</v>
      </c>
      <c r="Y38" s="10" t="s">
        <v>138</v>
      </c>
      <c r="Z38" s="24">
        <v>46112</v>
      </c>
      <c r="AA38" s="24">
        <v>46446</v>
      </c>
      <c r="AB38" s="4" t="s">
        <v>41</v>
      </c>
    </row>
    <row r="39" spans="1:28" hidden="1" x14ac:dyDescent="0.35">
      <c r="A39" s="4" t="s">
        <v>68</v>
      </c>
      <c r="B39" s="4" t="s">
        <v>23</v>
      </c>
      <c r="C39" s="4" t="s">
        <v>3</v>
      </c>
      <c r="D39" s="3">
        <v>100000874</v>
      </c>
      <c r="E39" s="4" t="s">
        <v>131</v>
      </c>
      <c r="F39" s="4" t="s">
        <v>132</v>
      </c>
      <c r="G39" s="48">
        <v>46171</v>
      </c>
      <c r="H39" s="3">
        <v>40069</v>
      </c>
      <c r="I39" s="4" t="s">
        <v>133</v>
      </c>
      <c r="J39" s="3">
        <v>29222990</v>
      </c>
      <c r="K39" s="4" t="s">
        <v>134</v>
      </c>
      <c r="L39" s="3">
        <v>11199289</v>
      </c>
      <c r="M39" s="3">
        <v>801154484</v>
      </c>
      <c r="N39" s="3">
        <v>901369072</v>
      </c>
      <c r="O39" s="30">
        <v>1000</v>
      </c>
      <c r="P39" s="30">
        <v>1000</v>
      </c>
      <c r="Q39" s="30">
        <v>1710</v>
      </c>
      <c r="R39" s="30">
        <v>1710000</v>
      </c>
      <c r="S39" s="30">
        <v>307800</v>
      </c>
      <c r="T39" s="30">
        <v>2017800</v>
      </c>
      <c r="U39" s="40" t="s">
        <v>39</v>
      </c>
      <c r="V39" s="40" t="s">
        <v>41</v>
      </c>
      <c r="W39" s="40" t="s">
        <v>135</v>
      </c>
      <c r="X39" s="40" t="s">
        <v>41</v>
      </c>
      <c r="Y39" s="10" t="s">
        <v>139</v>
      </c>
      <c r="Z39" s="24">
        <v>46112</v>
      </c>
      <c r="AA39" s="24">
        <v>46446</v>
      </c>
      <c r="AB39" s="4" t="s">
        <v>41</v>
      </c>
    </row>
    <row r="40" spans="1:28" hidden="1" x14ac:dyDescent="0.35">
      <c r="A40" s="4" t="s">
        <v>68</v>
      </c>
      <c r="B40" s="4" t="s">
        <v>23</v>
      </c>
      <c r="C40" s="4" t="s">
        <v>3</v>
      </c>
      <c r="D40" s="3">
        <v>100000874</v>
      </c>
      <c r="E40" s="4" t="s">
        <v>131</v>
      </c>
      <c r="F40" s="4" t="s">
        <v>132</v>
      </c>
      <c r="G40" s="48">
        <v>46171</v>
      </c>
      <c r="H40" s="3">
        <v>40069</v>
      </c>
      <c r="I40" s="4" t="s">
        <v>133</v>
      </c>
      <c r="J40" s="3">
        <v>29222990</v>
      </c>
      <c r="K40" s="4" t="s">
        <v>134</v>
      </c>
      <c r="L40" s="3">
        <v>11199289</v>
      </c>
      <c r="M40" s="3">
        <v>801154484</v>
      </c>
      <c r="N40" s="3">
        <v>901369072</v>
      </c>
      <c r="O40" s="30">
        <v>1000</v>
      </c>
      <c r="P40" s="30">
        <v>1000</v>
      </c>
      <c r="Q40" s="30">
        <v>1710</v>
      </c>
      <c r="R40" s="30">
        <v>1710000</v>
      </c>
      <c r="S40" s="30">
        <v>307800</v>
      </c>
      <c r="T40" s="30">
        <v>2017800</v>
      </c>
      <c r="U40" s="40" t="s">
        <v>39</v>
      </c>
      <c r="V40" s="40" t="s">
        <v>41</v>
      </c>
      <c r="W40" s="40" t="s">
        <v>135</v>
      </c>
      <c r="X40" s="40" t="s">
        <v>41</v>
      </c>
      <c r="Y40" s="10" t="s">
        <v>140</v>
      </c>
      <c r="Z40" s="24">
        <v>46112</v>
      </c>
      <c r="AA40" s="24">
        <v>46446</v>
      </c>
      <c r="AB40" s="4" t="s">
        <v>41</v>
      </c>
    </row>
    <row r="41" spans="1:28" hidden="1" x14ac:dyDescent="0.35">
      <c r="A41" s="4" t="s">
        <v>35</v>
      </c>
      <c r="B41" s="4" t="s">
        <v>23</v>
      </c>
      <c r="C41" s="4" t="s">
        <v>1</v>
      </c>
      <c r="D41" s="3">
        <v>100000694</v>
      </c>
      <c r="E41" s="4" t="s">
        <v>141</v>
      </c>
      <c r="F41" s="4" t="s">
        <v>142</v>
      </c>
      <c r="G41" s="24">
        <v>46172</v>
      </c>
      <c r="H41" s="3">
        <v>40008</v>
      </c>
      <c r="I41" s="4" t="s">
        <v>143</v>
      </c>
      <c r="J41" s="3">
        <v>29051100</v>
      </c>
      <c r="K41" s="4" t="s">
        <v>38</v>
      </c>
      <c r="L41" s="3">
        <v>11199807</v>
      </c>
      <c r="M41" s="3">
        <v>801154887</v>
      </c>
      <c r="N41" s="3">
        <v>901369655</v>
      </c>
      <c r="O41" s="30">
        <v>10440</v>
      </c>
      <c r="P41" s="30">
        <v>10440</v>
      </c>
      <c r="Q41" s="54">
        <v>26</v>
      </c>
      <c r="R41" s="30">
        <v>271439.8</v>
      </c>
      <c r="S41" s="30">
        <v>48859.199999999997</v>
      </c>
      <c r="T41" s="30">
        <v>320299</v>
      </c>
      <c r="U41" s="4" t="s">
        <v>39</v>
      </c>
      <c r="V41" s="3">
        <v>21</v>
      </c>
      <c r="W41" s="4" t="s">
        <v>144</v>
      </c>
      <c r="X41" s="4" t="s">
        <v>41</v>
      </c>
      <c r="Y41" s="4" t="s">
        <v>144</v>
      </c>
      <c r="Z41" s="24">
        <v>46168</v>
      </c>
      <c r="AA41" s="24">
        <v>46534</v>
      </c>
      <c r="AB41" s="27"/>
    </row>
    <row r="42" spans="1:28" hidden="1" x14ac:dyDescent="0.35">
      <c r="A42" s="4" t="s">
        <v>68</v>
      </c>
      <c r="B42" s="4" t="s">
        <v>147</v>
      </c>
      <c r="C42" s="4" t="s">
        <v>69</v>
      </c>
      <c r="D42" s="3">
        <v>100000946</v>
      </c>
      <c r="E42" s="4" t="s">
        <v>72</v>
      </c>
      <c r="F42" s="4" t="s">
        <v>148</v>
      </c>
      <c r="G42" s="24">
        <v>46175</v>
      </c>
      <c r="H42" s="3">
        <v>40050</v>
      </c>
      <c r="I42" s="4" t="s">
        <v>70</v>
      </c>
      <c r="J42" s="3">
        <v>28539090</v>
      </c>
      <c r="K42" s="50">
        <v>5210012384</v>
      </c>
      <c r="L42" s="3">
        <v>11200594</v>
      </c>
      <c r="M42" s="3">
        <v>801155691</v>
      </c>
      <c r="N42" s="3">
        <v>901370789</v>
      </c>
      <c r="O42" s="30">
        <v>3029018</v>
      </c>
      <c r="P42" s="30">
        <v>3029018</v>
      </c>
      <c r="Q42" s="30">
        <v>3.2499999867944003</v>
      </c>
      <c r="R42" s="30">
        <v>9844308.4600000009</v>
      </c>
      <c r="S42" s="30">
        <v>1771975.54</v>
      </c>
      <c r="T42" s="30">
        <v>11616284</v>
      </c>
      <c r="U42" s="4" t="s">
        <v>39</v>
      </c>
      <c r="V42" s="4" t="s">
        <v>41</v>
      </c>
      <c r="W42" s="4" t="s">
        <v>83</v>
      </c>
      <c r="X42" s="4" t="s">
        <v>41</v>
      </c>
      <c r="Y42" s="4" t="s">
        <v>41</v>
      </c>
      <c r="Z42" s="24"/>
      <c r="AA42" s="24"/>
      <c r="AB42" s="4" t="s">
        <v>41</v>
      </c>
    </row>
    <row r="43" spans="1:28" hidden="1" x14ac:dyDescent="0.35">
      <c r="A43" s="4" t="s">
        <v>35</v>
      </c>
      <c r="B43" s="4" t="s">
        <v>147</v>
      </c>
      <c r="C43" s="4" t="s">
        <v>3</v>
      </c>
      <c r="D43" s="3">
        <v>151000003</v>
      </c>
      <c r="E43" s="4" t="s">
        <v>149</v>
      </c>
      <c r="F43" s="4" t="s">
        <v>132</v>
      </c>
      <c r="G43" s="24">
        <v>46176</v>
      </c>
      <c r="H43" s="3">
        <v>40066</v>
      </c>
      <c r="I43" s="4" t="s">
        <v>150</v>
      </c>
      <c r="J43" s="3">
        <v>84818030</v>
      </c>
      <c r="K43" s="4" t="s">
        <v>38</v>
      </c>
      <c r="L43" s="3">
        <v>11200857</v>
      </c>
      <c r="M43" s="3">
        <v>801156076</v>
      </c>
      <c r="N43" s="3">
        <v>901371311</v>
      </c>
      <c r="O43" s="30">
        <v>12410</v>
      </c>
      <c r="P43" s="30">
        <v>12410</v>
      </c>
      <c r="Q43" s="30">
        <v>20</v>
      </c>
      <c r="R43" s="30">
        <v>248200</v>
      </c>
      <c r="S43" s="30">
        <v>44676</v>
      </c>
      <c r="T43" s="30">
        <v>292876</v>
      </c>
      <c r="U43" s="4" t="s">
        <v>39</v>
      </c>
      <c r="V43" s="3">
        <v>215</v>
      </c>
      <c r="W43" s="4" t="s">
        <v>151</v>
      </c>
      <c r="X43" s="4" t="s">
        <v>41</v>
      </c>
      <c r="Y43" s="4" t="s">
        <v>152</v>
      </c>
      <c r="Z43" s="24"/>
      <c r="AA43" s="24"/>
      <c r="AB43" s="4" t="s">
        <v>41</v>
      </c>
    </row>
    <row r="44" spans="1:28" hidden="1" x14ac:dyDescent="0.35">
      <c r="A44" s="4" t="s">
        <v>35</v>
      </c>
      <c r="B44" s="4" t="s">
        <v>147</v>
      </c>
      <c r="C44" s="4" t="s">
        <v>1</v>
      </c>
      <c r="D44" s="3">
        <v>151000012</v>
      </c>
      <c r="E44" s="4" t="s">
        <v>47</v>
      </c>
      <c r="F44" s="4" t="s">
        <v>153</v>
      </c>
      <c r="G44" s="24">
        <v>46179</v>
      </c>
      <c r="H44" s="3">
        <v>40058</v>
      </c>
      <c r="I44" s="4" t="s">
        <v>43</v>
      </c>
      <c r="J44" s="3">
        <v>38140010</v>
      </c>
      <c r="K44" s="4" t="s">
        <v>38</v>
      </c>
      <c r="L44" s="3">
        <v>11201530</v>
      </c>
      <c r="M44" s="3">
        <v>801156606</v>
      </c>
      <c r="N44" s="3">
        <v>901372140</v>
      </c>
      <c r="O44" s="30">
        <v>11830</v>
      </c>
      <c r="P44" s="30">
        <v>11830</v>
      </c>
      <c r="Q44" s="30">
        <v>3.5000084530853761</v>
      </c>
      <c r="R44" s="30">
        <v>41405.1</v>
      </c>
      <c r="S44" s="30">
        <v>7452.9</v>
      </c>
      <c r="T44" s="30">
        <v>48858</v>
      </c>
      <c r="U44" s="4" t="s">
        <v>39</v>
      </c>
      <c r="V44" s="4" t="s">
        <v>154</v>
      </c>
      <c r="W44" s="4" t="s">
        <v>155</v>
      </c>
      <c r="X44" s="4" t="s">
        <v>41</v>
      </c>
      <c r="Y44" s="4" t="s">
        <v>112</v>
      </c>
      <c r="Z44" s="24"/>
      <c r="AA44" s="24"/>
      <c r="AB44" s="4" t="s">
        <v>41</v>
      </c>
    </row>
    <row r="45" spans="1:28" x14ac:dyDescent="0.35">
      <c r="A45" s="4" t="s">
        <v>35</v>
      </c>
      <c r="B45" s="4" t="s">
        <v>147</v>
      </c>
      <c r="C45" s="4" t="s">
        <v>1</v>
      </c>
      <c r="D45" s="3">
        <v>151000013</v>
      </c>
      <c r="E45" s="4" t="s">
        <v>18</v>
      </c>
      <c r="F45" s="4" t="s">
        <v>156</v>
      </c>
      <c r="G45" s="24">
        <v>46188</v>
      </c>
      <c r="H45" s="3">
        <v>40058</v>
      </c>
      <c r="I45" s="4" t="s">
        <v>43</v>
      </c>
      <c r="J45" s="3">
        <v>84818030</v>
      </c>
      <c r="K45" s="4" t="s">
        <v>38</v>
      </c>
      <c r="L45" s="3">
        <v>11204242</v>
      </c>
      <c r="M45" s="3">
        <v>801159659</v>
      </c>
      <c r="N45" s="3">
        <v>901377126</v>
      </c>
      <c r="O45" s="30">
        <v>32110</v>
      </c>
      <c r="P45" s="30">
        <v>32110</v>
      </c>
      <c r="Q45" s="30">
        <v>0.10000062285892246</v>
      </c>
      <c r="R45" s="30">
        <v>3211.02</v>
      </c>
      <c r="S45" s="30">
        <v>577.98</v>
      </c>
      <c r="T45" s="30">
        <v>3789</v>
      </c>
      <c r="U45" s="4" t="s">
        <v>39</v>
      </c>
      <c r="V45" s="4" t="s">
        <v>157</v>
      </c>
      <c r="W45" s="4" t="s">
        <v>89</v>
      </c>
      <c r="X45" s="4" t="s">
        <v>41</v>
      </c>
      <c r="Y45" s="4" t="s">
        <v>158</v>
      </c>
      <c r="Z45" s="24"/>
      <c r="AA45" s="24"/>
      <c r="AB45" s="4" t="s">
        <v>41</v>
      </c>
    </row>
    <row r="46" spans="1:28" hidden="1" x14ac:dyDescent="0.35">
      <c r="A46" s="4" t="s">
        <v>35</v>
      </c>
      <c r="B46" s="4" t="s">
        <v>147</v>
      </c>
      <c r="C46" s="4" t="s">
        <v>159</v>
      </c>
      <c r="D46" s="3">
        <v>310007748</v>
      </c>
      <c r="E46" s="4" t="s">
        <v>160</v>
      </c>
      <c r="F46" s="4" t="s">
        <v>161</v>
      </c>
      <c r="G46" s="24">
        <v>46184</v>
      </c>
      <c r="H46" s="3">
        <v>40070</v>
      </c>
      <c r="I46" s="4" t="s">
        <v>162</v>
      </c>
      <c r="J46" s="3">
        <v>84818030</v>
      </c>
      <c r="K46" s="4" t="s">
        <v>163</v>
      </c>
      <c r="L46" s="3">
        <v>11202874</v>
      </c>
      <c r="M46" s="3">
        <v>801157980</v>
      </c>
      <c r="N46" s="3">
        <v>901374480</v>
      </c>
      <c r="O46" s="30">
        <v>2</v>
      </c>
      <c r="P46" s="25">
        <v>2</v>
      </c>
      <c r="Q46" s="30">
        <v>2000000</v>
      </c>
      <c r="R46" s="30">
        <v>4000000</v>
      </c>
      <c r="S46" s="30">
        <v>720000</v>
      </c>
      <c r="T46" s="30">
        <v>4720000</v>
      </c>
      <c r="U46" s="4" t="s">
        <v>39</v>
      </c>
      <c r="V46" s="4" t="s">
        <v>41</v>
      </c>
      <c r="W46" s="4" t="s">
        <v>164</v>
      </c>
      <c r="X46" s="4" t="s">
        <v>41</v>
      </c>
      <c r="Y46" s="4" t="s">
        <v>41</v>
      </c>
      <c r="Z46" s="24"/>
      <c r="AA46" s="24"/>
      <c r="AB46" s="4" t="s">
        <v>41</v>
      </c>
    </row>
    <row r="47" spans="1:28" hidden="1" x14ac:dyDescent="0.35">
      <c r="A47" s="4" t="s">
        <v>35</v>
      </c>
      <c r="B47" s="4" t="s">
        <v>147</v>
      </c>
      <c r="C47" s="4" t="s">
        <v>165</v>
      </c>
      <c r="D47" s="3">
        <v>310007748</v>
      </c>
      <c r="E47" s="4" t="s">
        <v>160</v>
      </c>
      <c r="F47" s="4" t="s">
        <v>166</v>
      </c>
      <c r="G47" s="24">
        <v>46184</v>
      </c>
      <c r="H47" s="3">
        <v>40070</v>
      </c>
      <c r="I47" s="4" t="s">
        <v>162</v>
      </c>
      <c r="J47" s="3">
        <v>84818030</v>
      </c>
      <c r="K47" s="4" t="s">
        <v>163</v>
      </c>
      <c r="L47" s="3">
        <v>11203103</v>
      </c>
      <c r="M47" s="3">
        <v>801158239</v>
      </c>
      <c r="N47" s="3">
        <v>901374876</v>
      </c>
      <c r="O47" s="30">
        <v>1</v>
      </c>
      <c r="P47" s="25">
        <v>1</v>
      </c>
      <c r="Q47" s="30">
        <v>2000000</v>
      </c>
      <c r="R47" s="30">
        <v>2000000</v>
      </c>
      <c r="S47" s="30">
        <v>360000</v>
      </c>
      <c r="T47" s="30">
        <v>2360000</v>
      </c>
      <c r="U47" s="4" t="s">
        <v>39</v>
      </c>
      <c r="V47" s="4" t="s">
        <v>41</v>
      </c>
      <c r="W47" s="4" t="s">
        <v>164</v>
      </c>
      <c r="X47" s="4" t="s">
        <v>41</v>
      </c>
      <c r="Y47" s="4" t="s">
        <v>41</v>
      </c>
      <c r="Z47" s="24"/>
      <c r="AA47" s="24"/>
      <c r="AB47" s="4" t="s">
        <v>41</v>
      </c>
    </row>
    <row r="48" spans="1:28" hidden="1" x14ac:dyDescent="0.35">
      <c r="A48" s="4" t="s">
        <v>35</v>
      </c>
      <c r="B48" s="4" t="s">
        <v>147</v>
      </c>
      <c r="C48" s="4" t="s">
        <v>159</v>
      </c>
      <c r="D48" s="3">
        <v>310007882</v>
      </c>
      <c r="E48" s="4" t="s">
        <v>167</v>
      </c>
      <c r="F48" s="4" t="s">
        <v>168</v>
      </c>
      <c r="G48" s="24">
        <v>46192</v>
      </c>
      <c r="H48" s="3">
        <v>40070</v>
      </c>
      <c r="I48" s="4" t="s">
        <v>162</v>
      </c>
      <c r="J48" s="3">
        <v>84818030</v>
      </c>
      <c r="K48" s="4" t="s">
        <v>163</v>
      </c>
      <c r="L48" s="3">
        <v>11205934</v>
      </c>
      <c r="M48" s="3">
        <v>801161321</v>
      </c>
      <c r="N48" s="3">
        <v>901380063</v>
      </c>
      <c r="O48" s="30">
        <v>2</v>
      </c>
      <c r="P48" s="25">
        <v>2</v>
      </c>
      <c r="Q48" s="30">
        <v>1666666.94</v>
      </c>
      <c r="R48" s="30">
        <v>3333333.88</v>
      </c>
      <c r="S48" s="30">
        <v>600000.12</v>
      </c>
      <c r="T48" s="30">
        <v>3933334</v>
      </c>
      <c r="U48" s="4" t="s">
        <v>39</v>
      </c>
      <c r="V48" s="4" t="s">
        <v>41</v>
      </c>
      <c r="W48" s="4" t="s">
        <v>169</v>
      </c>
      <c r="X48" s="4" t="s">
        <v>41</v>
      </c>
      <c r="Y48" s="4" t="s">
        <v>41</v>
      </c>
      <c r="Z48" s="24"/>
      <c r="AA48" s="24"/>
      <c r="AB48" s="4" t="s">
        <v>41</v>
      </c>
    </row>
    <row r="49" spans="1:28" hidden="1" x14ac:dyDescent="0.35">
      <c r="A49" s="4" t="s">
        <v>35</v>
      </c>
      <c r="B49" s="4" t="s">
        <v>147</v>
      </c>
      <c r="C49" s="4" t="s">
        <v>159</v>
      </c>
      <c r="D49" s="3">
        <v>310007886</v>
      </c>
      <c r="E49" s="4" t="s">
        <v>170</v>
      </c>
      <c r="F49" s="4" t="s">
        <v>168</v>
      </c>
      <c r="G49" s="24">
        <v>46192</v>
      </c>
      <c r="H49" s="3">
        <v>40070</v>
      </c>
      <c r="I49" s="4" t="s">
        <v>162</v>
      </c>
      <c r="J49" s="3">
        <v>84818030</v>
      </c>
      <c r="K49" s="4" t="s">
        <v>163</v>
      </c>
      <c r="L49" s="3">
        <v>11205934</v>
      </c>
      <c r="M49" s="3">
        <v>801161321</v>
      </c>
      <c r="N49" s="3">
        <v>901380063</v>
      </c>
      <c r="O49" s="30">
        <v>2</v>
      </c>
      <c r="P49" s="25">
        <v>2</v>
      </c>
      <c r="Q49" s="30">
        <v>100000</v>
      </c>
      <c r="R49" s="30">
        <v>200000</v>
      </c>
      <c r="S49" s="30">
        <v>36000</v>
      </c>
      <c r="T49" s="30">
        <v>236000</v>
      </c>
      <c r="U49" s="4" t="s">
        <v>39</v>
      </c>
      <c r="V49" s="4" t="s">
        <v>41</v>
      </c>
      <c r="W49" s="4" t="s">
        <v>169</v>
      </c>
      <c r="X49" s="4" t="s">
        <v>41</v>
      </c>
      <c r="Y49" s="4" t="s">
        <v>41</v>
      </c>
      <c r="Z49" s="24"/>
      <c r="AA49" s="24"/>
      <c r="AB49" s="4" t="s">
        <v>41</v>
      </c>
    </row>
    <row r="50" spans="1:28" hidden="1" x14ac:dyDescent="0.35">
      <c r="A50" s="4" t="s">
        <v>35</v>
      </c>
      <c r="B50" s="4" t="s">
        <v>147</v>
      </c>
      <c r="C50" s="4" t="s">
        <v>1</v>
      </c>
      <c r="D50" s="3">
        <v>310007882</v>
      </c>
      <c r="E50" s="4" t="s">
        <v>167</v>
      </c>
      <c r="F50" s="4" t="s">
        <v>171</v>
      </c>
      <c r="G50" s="24">
        <v>46192</v>
      </c>
      <c r="H50" s="3">
        <v>40070</v>
      </c>
      <c r="I50" s="4" t="s">
        <v>162</v>
      </c>
      <c r="J50" s="3">
        <v>84818030</v>
      </c>
      <c r="K50" s="4" t="s">
        <v>163</v>
      </c>
      <c r="L50" s="3">
        <v>11205946</v>
      </c>
      <c r="M50" s="3">
        <v>801161341</v>
      </c>
      <c r="N50" s="3">
        <v>901380104</v>
      </c>
      <c r="O50" s="30">
        <v>1</v>
      </c>
      <c r="P50" s="25">
        <v>1</v>
      </c>
      <c r="Q50" s="30">
        <v>1666666.94</v>
      </c>
      <c r="R50" s="30">
        <v>1666666.94</v>
      </c>
      <c r="S50" s="30">
        <v>300000.06</v>
      </c>
      <c r="T50" s="30">
        <v>1966667</v>
      </c>
      <c r="U50" s="4" t="s">
        <v>39</v>
      </c>
      <c r="V50" s="4" t="s">
        <v>41</v>
      </c>
      <c r="W50" s="4" t="s">
        <v>169</v>
      </c>
      <c r="X50" s="4" t="s">
        <v>41</v>
      </c>
      <c r="Y50" s="4" t="s">
        <v>41</v>
      </c>
      <c r="Z50" s="24"/>
      <c r="AA50" s="24"/>
      <c r="AB50" s="4" t="s">
        <v>41</v>
      </c>
    </row>
    <row r="51" spans="1:28" hidden="1" x14ac:dyDescent="0.35">
      <c r="A51" s="4" t="s">
        <v>35</v>
      </c>
      <c r="B51" s="4" t="s">
        <v>147</v>
      </c>
      <c r="C51" s="4" t="s">
        <v>1</v>
      </c>
      <c r="D51" s="3">
        <v>310007886</v>
      </c>
      <c r="E51" s="4" t="s">
        <v>170</v>
      </c>
      <c r="F51" s="4" t="s">
        <v>171</v>
      </c>
      <c r="G51" s="24">
        <v>46192</v>
      </c>
      <c r="H51" s="3">
        <v>40070</v>
      </c>
      <c r="I51" s="4" t="s">
        <v>162</v>
      </c>
      <c r="J51" s="3">
        <v>84818030</v>
      </c>
      <c r="K51" s="4" t="s">
        <v>163</v>
      </c>
      <c r="L51" s="3">
        <v>11205946</v>
      </c>
      <c r="M51" s="3">
        <v>801161341</v>
      </c>
      <c r="N51" s="3">
        <v>901380104</v>
      </c>
      <c r="O51" s="30">
        <v>1</v>
      </c>
      <c r="P51" s="25">
        <v>1</v>
      </c>
      <c r="Q51" s="30">
        <v>100000</v>
      </c>
      <c r="R51" s="30">
        <v>100000</v>
      </c>
      <c r="S51" s="30">
        <v>18000</v>
      </c>
      <c r="T51" s="30">
        <v>118000</v>
      </c>
      <c r="U51" s="4" t="s">
        <v>39</v>
      </c>
      <c r="V51" s="4" t="s">
        <v>41</v>
      </c>
      <c r="W51" s="4" t="s">
        <v>169</v>
      </c>
      <c r="X51" s="4" t="s">
        <v>41</v>
      </c>
      <c r="Y51" s="4" t="s">
        <v>41</v>
      </c>
      <c r="Z51" s="24"/>
      <c r="AA51" s="24"/>
      <c r="AB51" s="4" t="s">
        <v>41</v>
      </c>
    </row>
    <row r="52" spans="1:28" x14ac:dyDescent="0.35">
      <c r="A52" s="4" t="s">
        <v>35</v>
      </c>
      <c r="B52" s="4" t="s">
        <v>147</v>
      </c>
      <c r="C52" s="4" t="s">
        <v>1</v>
      </c>
      <c r="D52" s="3">
        <v>151000013</v>
      </c>
      <c r="E52" s="4" t="s">
        <v>18</v>
      </c>
      <c r="F52" s="4" t="s">
        <v>172</v>
      </c>
      <c r="G52" s="24">
        <v>46198</v>
      </c>
      <c r="H52" s="3">
        <v>40058</v>
      </c>
      <c r="I52" s="4" t="s">
        <v>43</v>
      </c>
      <c r="J52" s="3">
        <v>84818030</v>
      </c>
      <c r="K52" s="4" t="s">
        <v>38</v>
      </c>
      <c r="L52" s="3">
        <v>11208030</v>
      </c>
      <c r="M52" s="3">
        <v>801164184</v>
      </c>
      <c r="N52" s="3">
        <v>901384690</v>
      </c>
      <c r="O52" s="30">
        <v>32150</v>
      </c>
      <c r="P52" s="30">
        <v>32150</v>
      </c>
      <c r="Q52" s="30">
        <v>0.10000933125972007</v>
      </c>
      <c r="R52" s="30">
        <v>3215.3</v>
      </c>
      <c r="S52" s="30">
        <v>578.70000000000005</v>
      </c>
      <c r="T52" s="30">
        <v>3794</v>
      </c>
      <c r="U52" s="4" t="s">
        <v>39</v>
      </c>
      <c r="V52" s="4" t="s">
        <v>41</v>
      </c>
      <c r="W52" s="4" t="s">
        <v>89</v>
      </c>
      <c r="X52" s="4" t="s">
        <v>41</v>
      </c>
      <c r="Y52" s="4" t="s">
        <v>173</v>
      </c>
      <c r="Z52" s="24"/>
      <c r="AA52" s="24"/>
      <c r="AB52" s="4" t="s">
        <v>41</v>
      </c>
    </row>
  </sheetData>
  <autoFilter ref="A5:AC52" xr:uid="{8B387B52-277B-4628-BB1C-1D43AB7C2B6D}">
    <filterColumn colId="1">
      <filters>
        <filter val="June"/>
      </filters>
    </filterColumn>
    <filterColumn colId="16">
      <filters>
        <filter val="0.10"/>
      </filters>
    </filterColumn>
  </autoFilter>
  <mergeCells count="1">
    <mergeCell ref="A1:X1"/>
  </mergeCells>
  <conditionalFormatting sqref="O5:Q5">
    <cfRule type="duplicateValues" dxfId="0" priority="8" stopIfTrue="1"/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Sheet1</vt:lpstr>
      <vt:lpstr>By Product Disposal.</vt:lpstr>
      <vt:lpstr>By Product Disposal-Expense</vt:lpstr>
      <vt:lpstr>Sales 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Bhikhubha Chudasama</dc:creator>
  <cp:lastModifiedBy>Ghanshyam Sinh Chauhan</cp:lastModifiedBy>
  <dcterms:created xsi:type="dcterms:W3CDTF">2024-03-21T09:55:16Z</dcterms:created>
  <dcterms:modified xsi:type="dcterms:W3CDTF">2026-07-01T06:05:50Z</dcterms:modified>
</cp:coreProperties>
</file>