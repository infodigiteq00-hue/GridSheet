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Q:\FG Details &amp; Reports\"/>
    </mc:Choice>
  </mc:AlternateContent>
  <xr:revisionPtr revIDLastSave="0" documentId="13_ncr:1_{CFC80900-F39A-430A-BA76-266FFE1DCFE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FY 2026-27 Month Wise Summary" sheetId="4" r:id="rId1"/>
    <sheet name="Material Wise Summary" sheetId="3" r:id="rId2"/>
    <sheet name="FG SALES REGISTER" sheetId="1" r:id="rId3"/>
  </sheets>
  <definedNames>
    <definedName name="_xlnm._FilterDatabase" localSheetId="2" hidden="1">'FG SALES REGISTER'!$A$6:$AB$6</definedName>
    <definedName name="_xlnm._FilterDatabase" localSheetId="1" hidden="1">'Material Wise Summary'!$A$2:$K$2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P3" i="1"/>
  <c r="O3" i="1"/>
  <c r="Q111" i="1" l="1"/>
  <c r="Q110" i="1"/>
  <c r="Q109" i="1"/>
  <c r="Q108" i="1"/>
  <c r="Q107" i="1"/>
  <c r="Q106" i="1"/>
  <c r="Q105" i="1"/>
  <c r="Q104" i="1"/>
  <c r="Q103" i="1"/>
  <c r="Q102" i="1"/>
  <c r="N6" i="4" l="1"/>
  <c r="M6" i="4"/>
  <c r="L6" i="4"/>
  <c r="T90" i="1"/>
  <c r="S90" i="1"/>
  <c r="R90" i="1"/>
  <c r="Q90" i="1"/>
  <c r="P90" i="1"/>
  <c r="O90" i="1"/>
  <c r="T89" i="1"/>
  <c r="S89" i="1"/>
  <c r="R89" i="1"/>
  <c r="Q89" i="1"/>
  <c r="P89" i="1"/>
  <c r="O89" i="1"/>
  <c r="T88" i="1"/>
  <c r="S88" i="1"/>
  <c r="R88" i="1"/>
  <c r="Q88" i="1"/>
  <c r="P88" i="1"/>
  <c r="O88" i="1"/>
  <c r="T87" i="1"/>
  <c r="S87" i="1"/>
  <c r="R87" i="1"/>
  <c r="Q87" i="1"/>
  <c r="P87" i="1"/>
  <c r="O87" i="1"/>
  <c r="T86" i="1"/>
  <c r="S86" i="1"/>
  <c r="R86" i="1"/>
  <c r="Q86" i="1"/>
  <c r="P86" i="1"/>
  <c r="O86" i="1"/>
  <c r="T85" i="1"/>
  <c r="S85" i="1"/>
  <c r="R85" i="1"/>
  <c r="Q85" i="1"/>
  <c r="P85" i="1"/>
  <c r="O85" i="1"/>
  <c r="T84" i="1"/>
  <c r="S84" i="1"/>
  <c r="R84" i="1"/>
  <c r="Q84" i="1"/>
  <c r="P84" i="1"/>
  <c r="O84" i="1"/>
  <c r="T83" i="1"/>
  <c r="S83" i="1"/>
  <c r="R83" i="1"/>
  <c r="Q83" i="1"/>
  <c r="P83" i="1"/>
  <c r="O83" i="1"/>
  <c r="T82" i="1"/>
  <c r="S82" i="1"/>
  <c r="R82" i="1"/>
  <c r="Q82" i="1"/>
  <c r="P82" i="1"/>
  <c r="O82" i="1"/>
  <c r="Q67" i="1" l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91" i="1"/>
  <c r="Q92" i="1"/>
  <c r="Q93" i="1"/>
  <c r="Q94" i="1"/>
  <c r="Q95" i="1"/>
  <c r="Q96" i="1"/>
  <c r="Q97" i="1"/>
  <c r="Q98" i="1"/>
  <c r="Q99" i="1"/>
  <c r="Q100" i="1"/>
  <c r="Q101" i="1"/>
  <c r="Q66" i="1"/>
  <c r="K25" i="3" l="1"/>
  <c r="J25" i="3"/>
  <c r="I25" i="3"/>
  <c r="N5" i="4" l="1"/>
  <c r="M5" i="4"/>
  <c r="L5" i="4"/>
  <c r="N4" i="4"/>
  <c r="M4" i="4"/>
  <c r="M16" i="4" s="1"/>
  <c r="L4" i="4"/>
  <c r="L16" i="4" s="1"/>
  <c r="I16" i="4"/>
  <c r="H16" i="4"/>
  <c r="G16" i="4"/>
  <c r="N16" i="4" l="1"/>
  <c r="Q40" i="1" l="1"/>
  <c r="Q39" i="1"/>
  <c r="Q38" i="1"/>
  <c r="Q37" i="1"/>
  <c r="Q36" i="1"/>
  <c r="H25" i="3" l="1"/>
  <c r="G25" i="3"/>
  <c r="F25" i="3"/>
  <c r="Q35" i="1" l="1"/>
  <c r="Q34" i="1"/>
  <c r="Q30" i="1" l="1"/>
  <c r="Q31" i="1"/>
  <c r="Q32" i="1"/>
  <c r="Q33" i="1"/>
  <c r="Q29" i="1" l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D16" i="4" l="1"/>
  <c r="C16" i="4"/>
  <c r="B16" i="4"/>
  <c r="E25" i="3"/>
  <c r="D25" i="3"/>
  <c r="C25" i="3"/>
  <c r="R2" i="1"/>
  <c r="O2" i="1"/>
  <c r="T8" i="1" l="1"/>
  <c r="T9" i="1"/>
  <c r="T10" i="1"/>
  <c r="T11" i="1"/>
  <c r="T12" i="1"/>
  <c r="T13" i="1"/>
  <c r="T14" i="1"/>
  <c r="T15" i="1"/>
  <c r="T7" i="1"/>
  <c r="T3" i="1" l="1"/>
  <c r="T2" i="1"/>
  <c r="Q8" i="1"/>
  <c r="Q9" i="1"/>
  <c r="Q10" i="1"/>
  <c r="Q11" i="1"/>
  <c r="Q12" i="1"/>
  <c r="Q13" i="1"/>
  <c r="Q14" i="1"/>
  <c r="Q15" i="1"/>
  <c r="Q7" i="1"/>
</calcChain>
</file>

<file path=xl/sharedStrings.xml><?xml version="1.0" encoding="utf-8"?>
<sst xmlns="http://schemas.openxmlformats.org/spreadsheetml/2006/main" count="1415" uniqueCount="234">
  <si>
    <t>Month</t>
  </si>
  <si>
    <t>Material Description</t>
  </si>
  <si>
    <t>Rate</t>
  </si>
  <si>
    <t>Tax Amount</t>
  </si>
  <si>
    <t>Plant</t>
  </si>
  <si>
    <t>ODN Number</t>
  </si>
  <si>
    <t>Billing Date</t>
  </si>
  <si>
    <t>Customer</t>
  </si>
  <si>
    <t>Custome Name</t>
  </si>
  <si>
    <t>HSN code</t>
  </si>
  <si>
    <t>PO Number</t>
  </si>
  <si>
    <t>OBD No</t>
  </si>
  <si>
    <t>Billing Doc.</t>
  </si>
  <si>
    <t>Billed Quantity</t>
  </si>
  <si>
    <t>SKU Bill Qty</t>
  </si>
  <si>
    <t>Transporter</t>
  </si>
  <si>
    <t>GR/LR No</t>
  </si>
  <si>
    <t>Vehicle</t>
  </si>
  <si>
    <t>Remarks</t>
  </si>
  <si>
    <t>Batch</t>
  </si>
  <si>
    <t>Mfg. Date</t>
  </si>
  <si>
    <t>Exp Date</t>
  </si>
  <si>
    <t>Eway Bill No</t>
  </si>
  <si>
    <t>April</t>
  </si>
  <si>
    <t>WI05</t>
  </si>
  <si>
    <t>Clethodim  Technical</t>
  </si>
  <si>
    <t>RV0526000001</t>
  </si>
  <si>
    <t>ZINWS01</t>
  </si>
  <si>
    <t>Willowood Chemicals Ltd- U2</t>
  </si>
  <si>
    <t>By Vendor Own Vehicle</t>
  </si>
  <si>
    <t/>
  </si>
  <si>
    <t>GJ16AU1255</t>
  </si>
  <si>
    <t>CTDM265001</t>
  </si>
  <si>
    <t>CTDM265002</t>
  </si>
  <si>
    <t>CTDM265003</t>
  </si>
  <si>
    <t>CTDM265004</t>
  </si>
  <si>
    <t>WI03</t>
  </si>
  <si>
    <t>Thiophanate methyl Technical</t>
  </si>
  <si>
    <t>ZD0326000001</t>
  </si>
  <si>
    <t>DIVYA ROADLINES</t>
  </si>
  <si>
    <t>GJ27V-1271</t>
  </si>
  <si>
    <t>TPMY263014</t>
  </si>
  <si>
    <t>TPMY263015</t>
  </si>
  <si>
    <t>RV0526000002</t>
  </si>
  <si>
    <t>GJ16AU/1255</t>
  </si>
  <si>
    <t>CTDM265005</t>
  </si>
  <si>
    <t>CTDM265006</t>
  </si>
  <si>
    <t>CTDM265007</t>
  </si>
  <si>
    <t>Material Code</t>
  </si>
  <si>
    <t>Sales Order</t>
  </si>
  <si>
    <t>Value Without GST</t>
  </si>
  <si>
    <t>Value WitH GST</t>
  </si>
  <si>
    <t>Grand Total</t>
  </si>
  <si>
    <t>Sulfentrazone</t>
  </si>
  <si>
    <t>Tembotrione-Technical</t>
  </si>
  <si>
    <t>Topramezone Technical</t>
  </si>
  <si>
    <t>DIAFENTHIURON</t>
  </si>
  <si>
    <t>THIAMETHOXAM</t>
  </si>
  <si>
    <t>Spirotetramate</t>
  </si>
  <si>
    <t>FENOXAPROP</t>
  </si>
  <si>
    <t xml:space="preserve"> M/S Willowood Industries Pvt.Ltd.- Dahej Unit    -     Sales Register-2026-27</t>
  </si>
  <si>
    <t>Qty (MT)</t>
  </si>
  <si>
    <t>Value Without GST (In Cr)</t>
  </si>
  <si>
    <t>Value With GST (In Cr)</t>
  </si>
  <si>
    <t>WI01</t>
  </si>
  <si>
    <t>Tembotrione</t>
  </si>
  <si>
    <t>Topra Acid Chloride</t>
  </si>
  <si>
    <t>Pyrithiobac Sodium</t>
  </si>
  <si>
    <t>WI02</t>
  </si>
  <si>
    <t>CTPR</t>
  </si>
  <si>
    <t>Cymoxanil</t>
  </si>
  <si>
    <t>PYMETROZINE</t>
  </si>
  <si>
    <t>Tebuconazole</t>
  </si>
  <si>
    <t>WI04</t>
  </si>
  <si>
    <t>Tolfenpyrad Technical</t>
  </si>
  <si>
    <t>Novaluron</t>
  </si>
  <si>
    <t>Spiromesifen</t>
  </si>
  <si>
    <t>Thifluzamide Technical</t>
  </si>
  <si>
    <t>Quizalofop</t>
  </si>
  <si>
    <t>DICLOSULAM</t>
  </si>
  <si>
    <t>Value Without GST (Cr)</t>
  </si>
  <si>
    <t>Value With GST (Cr)</t>
  </si>
  <si>
    <t>Total (FY 26-27)</t>
  </si>
  <si>
    <t>Material Type Name</t>
  </si>
  <si>
    <t>ZD0426000001</t>
  </si>
  <si>
    <t>ZD0426000002</t>
  </si>
  <si>
    <t>ZD0426000003</t>
  </si>
  <si>
    <t>RV0126000001</t>
  </si>
  <si>
    <t>GJ16AY7881</t>
  </si>
  <si>
    <t>TLPD254009</t>
  </si>
  <si>
    <t>TLPD254010</t>
  </si>
  <si>
    <t>TLPD254013</t>
  </si>
  <si>
    <t>TLPD254014</t>
  </si>
  <si>
    <t>TLPD254024</t>
  </si>
  <si>
    <t>TLPD254016</t>
  </si>
  <si>
    <t>TLPD254017</t>
  </si>
  <si>
    <t>TLPD254018</t>
  </si>
  <si>
    <t>TLPD254019</t>
  </si>
  <si>
    <t>TLPD254020</t>
  </si>
  <si>
    <t>TEM2610027</t>
  </si>
  <si>
    <t>TEM2610028</t>
  </si>
  <si>
    <t>TEM2610029</t>
  </si>
  <si>
    <t>TEM2610031</t>
  </si>
  <si>
    <t>Bill Type</t>
  </si>
  <si>
    <t>ZIB</t>
  </si>
  <si>
    <t>ZIRE</t>
  </si>
  <si>
    <t>FG SALES SUMMARY</t>
  </si>
  <si>
    <t>May</t>
  </si>
  <si>
    <t>ZD0526000001</t>
  </si>
  <si>
    <t>ZD0526000002</t>
  </si>
  <si>
    <t>GJ16Z6837</t>
  </si>
  <si>
    <t>GJ16Z6874</t>
  </si>
  <si>
    <t>FNXP255013</t>
  </si>
  <si>
    <t>FNXP255014</t>
  </si>
  <si>
    <t>FNXP255003</t>
  </si>
  <si>
    <t>FNXP255010</t>
  </si>
  <si>
    <t>ZD0326000003</t>
  </si>
  <si>
    <t>GJ16Z/6837</t>
  </si>
  <si>
    <t>TPMY263029</t>
  </si>
  <si>
    <t>TPMY263030</t>
  </si>
  <si>
    <t>RV0526000005</t>
  </si>
  <si>
    <t>RV0126000002</t>
  </si>
  <si>
    <t>CTDM265008</t>
  </si>
  <si>
    <t>CTDM265009</t>
  </si>
  <si>
    <t>CTDM265010</t>
  </si>
  <si>
    <t>GJ06AV2051</t>
  </si>
  <si>
    <t>TEM2610030</t>
  </si>
  <si>
    <t>TEM2610032</t>
  </si>
  <si>
    <t>RV0526000007</t>
  </si>
  <si>
    <t>CTDM26507A</t>
  </si>
  <si>
    <t>CTDM265011</t>
  </si>
  <si>
    <t>CTDM265012</t>
  </si>
  <si>
    <t>CTDM265013</t>
  </si>
  <si>
    <t>RV0526000009</t>
  </si>
  <si>
    <t>CTDM265014</t>
  </si>
  <si>
    <t>CTDM265015</t>
  </si>
  <si>
    <t>CTDM265016</t>
  </si>
  <si>
    <t>GJ06BT7560</t>
  </si>
  <si>
    <t>FG SALES RETURN SUMMARY</t>
  </si>
  <si>
    <t>FG NET SALES SUMMARY</t>
  </si>
  <si>
    <t xml:space="preserve">Note : Value after return goods received </t>
  </si>
  <si>
    <t>June</t>
  </si>
  <si>
    <t>Propaquizafop TECHNICAL</t>
  </si>
  <si>
    <t>RV0526000011</t>
  </si>
  <si>
    <t>GJ16AW4211</t>
  </si>
  <si>
    <t>PQFP26501A</t>
  </si>
  <si>
    <t>PQFP26501B</t>
  </si>
  <si>
    <t>RV0526000012</t>
  </si>
  <si>
    <t>GJ33T1184</t>
  </si>
  <si>
    <t>PQFP26502A</t>
  </si>
  <si>
    <t>PQFP26502B</t>
  </si>
  <si>
    <t>RV0526000013</t>
  </si>
  <si>
    <t>CTDM265017</t>
  </si>
  <si>
    <t>CTDM265018</t>
  </si>
  <si>
    <t>RV0526000015</t>
  </si>
  <si>
    <t>CTDM265019</t>
  </si>
  <si>
    <t>CTDM265020</t>
  </si>
  <si>
    <t>CTDM265021</t>
  </si>
  <si>
    <t>RV0526000016</t>
  </si>
  <si>
    <t>GJ06BX7744</t>
  </si>
  <si>
    <t>Cancelled</t>
  </si>
  <si>
    <t>PQFP26504A</t>
  </si>
  <si>
    <t>S1</t>
  </si>
  <si>
    <t>RV0526000017</t>
  </si>
  <si>
    <t>RV0526000018</t>
  </si>
  <si>
    <t>CTDM265022</t>
  </si>
  <si>
    <t>CTDM265023</t>
  </si>
  <si>
    <t>CTDM265024</t>
  </si>
  <si>
    <t>RV0526000019</t>
  </si>
  <si>
    <t>GJ15AV/1124</t>
  </si>
  <si>
    <t>PQFP26504B</t>
  </si>
  <si>
    <t>RV0526000021</t>
  </si>
  <si>
    <t>GJ06BV-7744</t>
  </si>
  <si>
    <t>PQFP26505A</t>
  </si>
  <si>
    <t>RV0526000022</t>
  </si>
  <si>
    <t>PQFP26505B</t>
  </si>
  <si>
    <t>SULFENTRAZONE</t>
  </si>
  <si>
    <t>RV0126000003</t>
  </si>
  <si>
    <t>RV0526000024</t>
  </si>
  <si>
    <t>RV0326000001</t>
  </si>
  <si>
    <t>RV0126000004</t>
  </si>
  <si>
    <t>RV0126000029</t>
  </si>
  <si>
    <t>RV0526000026</t>
  </si>
  <si>
    <t>GJ06XX8711</t>
  </si>
  <si>
    <t>SLFD251054</t>
  </si>
  <si>
    <t>SLFD251056</t>
  </si>
  <si>
    <t>SLFD251057</t>
  </si>
  <si>
    <t>SLFD251060</t>
  </si>
  <si>
    <t>SLFD251061</t>
  </si>
  <si>
    <t>SLFD251063</t>
  </si>
  <si>
    <t>SLFD261007</t>
  </si>
  <si>
    <t>SLFD261038</t>
  </si>
  <si>
    <t>SLFD261039</t>
  </si>
  <si>
    <t>SLFD261040</t>
  </si>
  <si>
    <t>SLFD261041</t>
  </si>
  <si>
    <t>GJ06BX0451</t>
  </si>
  <si>
    <t>PQFP26506A</t>
  </si>
  <si>
    <t>PQFP26506B</t>
  </si>
  <si>
    <t>GJ06XX/7725</t>
  </si>
  <si>
    <t>TPMY263036</t>
  </si>
  <si>
    <t>GJ06AX3565</t>
  </si>
  <si>
    <t>SLFD261042</t>
  </si>
  <si>
    <t>SLFD261043</t>
  </si>
  <si>
    <t>SLFD261044</t>
  </si>
  <si>
    <t>SLFD261045</t>
  </si>
  <si>
    <t>SLFD261046</t>
  </si>
  <si>
    <t>SLFD261047</t>
  </si>
  <si>
    <t>SLFD261048</t>
  </si>
  <si>
    <t>SLFD261049</t>
  </si>
  <si>
    <t>CTDM265025</t>
  </si>
  <si>
    <t>CTDM265026</t>
  </si>
  <si>
    <t>RV0126000030</t>
  </si>
  <si>
    <t>GJ06BX9497</t>
  </si>
  <si>
    <t>SLFD261050</t>
  </si>
  <si>
    <t>SLFD261051</t>
  </si>
  <si>
    <t>SLFD261052</t>
  </si>
  <si>
    <t>SLFD261053</t>
  </si>
  <si>
    <t>SLFD261054</t>
  </si>
  <si>
    <t>SLFD261055</t>
  </si>
  <si>
    <t>SLFD261056</t>
  </si>
  <si>
    <t>SLFD261057</t>
  </si>
  <si>
    <t>SLFD261058</t>
  </si>
  <si>
    <t>RV0526000027</t>
  </si>
  <si>
    <t>CTDM265027</t>
  </si>
  <si>
    <t>CTDM265028</t>
  </si>
  <si>
    <t>RV0526000028</t>
  </si>
  <si>
    <t>CTDM265029</t>
  </si>
  <si>
    <t>RV0526000029</t>
  </si>
  <si>
    <t>GJ06BV/7744</t>
  </si>
  <si>
    <t>PQFP26508A</t>
  </si>
  <si>
    <t>THIAMETHOXAM (GRINDED)</t>
  </si>
  <si>
    <t>RV0326000004</t>
  </si>
  <si>
    <t>TMZ2630030</t>
  </si>
  <si>
    <t>TMZ2630031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</si>
</sst>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0" fillId="0" borderId="1" xfId="0" applyBorder="1"/>
    <xf numFmtId="43" fontId="0" fillId="0" borderId="18" xfId="1" applyFont="1" applyBorder="1"/>
    <xf numFmtId="43" fontId="0" fillId="0" borderId="2" xfId="1" applyFont="1" applyBorder="1"/>
    <xf numFmtId="43" fontId="0" fillId="0" borderId="19" xfId="1" applyFont="1" applyBorder="1"/>
    <xf numFmtId="43" fontId="0" fillId="0" borderId="16" xfId="1" applyFont="1" applyBorder="1"/>
    <xf numFmtId="43" fontId="0" fillId="0" borderId="1" xfId="1" applyFont="1" applyBorder="1"/>
    <xf numFmtId="43" fontId="0" fillId="0" borderId="17" xfId="1" applyFont="1" applyBorder="1"/>
    <xf numFmtId="43" fontId="0" fillId="0" borderId="10" xfId="1" applyFont="1" applyBorder="1"/>
    <xf numFmtId="43" fontId="0" fillId="0" borderId="15" xfId="1" applyFont="1" applyBorder="1"/>
    <xf numFmtId="43" fontId="2" fillId="2" borderId="12" xfId="1" applyFont="1" applyFill="1" applyBorder="1" applyAlignment="1">
      <alignment horizontal="center" vertical="center" wrapText="1"/>
    </xf>
    <xf numFmtId="43" fontId="2" fillId="2" borderId="13" xfId="1" applyFont="1" applyFill="1" applyBorder="1" applyAlignment="1">
      <alignment horizontal="center" vertical="center" wrapText="1"/>
    </xf>
    <xf numFmtId="43" fontId="2" fillId="2" borderId="14" xfId="1" applyFont="1" applyFill="1" applyBorder="1" applyAlignment="1">
      <alignment horizontal="center" vertical="center" wrapText="1"/>
    </xf>
    <xf numFmtId="43" fontId="2" fillId="2" borderId="7" xfId="1" applyFont="1" applyFill="1" applyBorder="1" applyAlignment="1"/>
    <xf numFmtId="0" fontId="2" fillId="2" borderId="9" xfId="0" applyFont="1" applyFill="1" applyBorder="1" applyAlignment="1">
      <alignment horizontal="center"/>
    </xf>
    <xf numFmtId="43" fontId="2" fillId="2" borderId="12" xfId="1" applyFont="1" applyFill="1" applyBorder="1"/>
    <xf numFmtId="43" fontId="0" fillId="0" borderId="0" xfId="1" applyFont="1"/>
    <xf numFmtId="0" fontId="2" fillId="2" borderId="1" xfId="0" applyFont="1" applyFill="1" applyBorder="1" applyAlignment="1">
      <alignment horizontal="center" vertical="center"/>
    </xf>
    <xf numFmtId="17" fontId="3" fillId="0" borderId="6" xfId="0" applyNumberFormat="1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3" fillId="0" borderId="13" xfId="0" applyNumberFormat="1" applyFont="1" applyBorder="1" applyAlignment="1">
      <alignment horizontal="center"/>
    </xf>
    <xf numFmtId="43" fontId="0" fillId="0" borderId="6" xfId="0" applyNumberFormat="1" applyBorder="1" applyAlignment="1">
      <alignment horizontal="right" vertical="center"/>
    </xf>
    <xf numFmtId="43" fontId="0" fillId="0" borderId="5" xfId="0" applyNumberFormat="1" applyBorder="1" applyAlignment="1">
      <alignment horizontal="right" vertical="center"/>
    </xf>
    <xf numFmtId="43" fontId="0" fillId="0" borderId="1" xfId="0" applyNumberFormat="1" applyBorder="1" applyAlignment="1">
      <alignment horizontal="right" vertical="center"/>
    </xf>
    <xf numFmtId="43" fontId="0" fillId="0" borderId="17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2" fontId="0" fillId="0" borderId="17" xfId="0" applyNumberFormat="1" applyBorder="1" applyAlignment="1">
      <alignment horizontal="right" vertical="center"/>
    </xf>
    <xf numFmtId="2" fontId="0" fillId="0" borderId="1" xfId="1" applyNumberFormat="1" applyFont="1" applyBorder="1" applyAlignment="1">
      <alignment horizontal="right" vertical="center"/>
    </xf>
    <xf numFmtId="2" fontId="0" fillId="0" borderId="17" xfId="1" applyNumberFormat="1" applyFont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43" fontId="0" fillId="0" borderId="17" xfId="1" applyFont="1" applyBorder="1" applyAlignment="1">
      <alignment horizontal="right" vertical="center"/>
    </xf>
    <xf numFmtId="43" fontId="0" fillId="0" borderId="13" xfId="1" applyFont="1" applyBorder="1" applyAlignment="1">
      <alignment horizontal="right" vertical="center"/>
    </xf>
    <xf numFmtId="43" fontId="0" fillId="0" borderId="14" xfId="1" applyFont="1" applyBorder="1" applyAlignment="1">
      <alignment horizontal="right" vertical="center"/>
    </xf>
    <xf numFmtId="43" fontId="0" fillId="0" borderId="1" xfId="1" applyFont="1" applyBorder="1" applyAlignment="1">
      <alignment horizontal="right" vertical="top"/>
    </xf>
    <xf numFmtId="43" fontId="0" fillId="0" borderId="1" xfId="1" applyFont="1" applyFill="1" applyBorder="1" applyAlignment="1">
      <alignment horizontal="right" vertical="top"/>
    </xf>
    <xf numFmtId="43" fontId="2" fillId="4" borderId="25" xfId="1" applyFont="1" applyFill="1" applyBorder="1" applyAlignment="1">
      <alignment horizontal="center" vertical="center" wrapText="1"/>
    </xf>
    <xf numFmtId="43" fontId="2" fillId="4" borderId="13" xfId="1" applyFont="1" applyFill="1" applyBorder="1" applyAlignment="1">
      <alignment horizontal="center" vertical="center" wrapText="1"/>
    </xf>
    <xf numFmtId="43" fontId="2" fillId="4" borderId="14" xfId="1" applyFont="1" applyFill="1" applyBorder="1" applyAlignment="1">
      <alignment horizontal="center" vertical="center" wrapText="1"/>
    </xf>
    <xf numFmtId="17" fontId="2" fillId="4" borderId="8" xfId="0" applyNumberFormat="1" applyFont="1" applyFill="1" applyBorder="1" applyAlignment="1">
      <alignment horizontal="center" vertical="center"/>
    </xf>
    <xf numFmtId="43" fontId="2" fillId="4" borderId="8" xfId="1" applyNumberFormat="1" applyFont="1" applyFill="1" applyBorder="1"/>
    <xf numFmtId="43" fontId="0" fillId="5" borderId="16" xfId="1" applyFont="1" applyFill="1" applyBorder="1"/>
    <xf numFmtId="43" fontId="0" fillId="5" borderId="17" xfId="1" applyFont="1" applyFill="1" applyBorder="1"/>
    <xf numFmtId="164" fontId="0" fillId="5" borderId="16" xfId="1" applyNumberFormat="1" applyFont="1" applyFill="1" applyBorder="1"/>
    <xf numFmtId="43" fontId="0" fillId="5" borderId="10" xfId="1" applyFont="1" applyFill="1" applyBorder="1"/>
    <xf numFmtId="43" fontId="0" fillId="5" borderId="11" xfId="1" applyFont="1" applyFill="1" applyBorder="1"/>
    <xf numFmtId="0" fontId="0" fillId="0" borderId="1" xfId="0" applyBorder="1" applyAlignment="1">
      <alignment horizontal="center" vertical="top"/>
    </xf>
    <xf numFmtId="43" fontId="0" fillId="0" borderId="1" xfId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NumberFormat="1" applyBorder="1" applyAlignment="1">
      <alignment horizontal="right" vertical="top"/>
    </xf>
    <xf numFmtId="17" fontId="3" fillId="0" borderId="4" xfId="0" applyNumberFormat="1" applyFont="1" applyBorder="1" applyAlignment="1">
      <alignment horizontal="center"/>
    </xf>
    <xf numFmtId="17" fontId="3" fillId="0" borderId="16" xfId="0" applyNumberFormat="1" applyFont="1" applyBorder="1" applyAlignment="1">
      <alignment horizontal="center"/>
    </xf>
    <xf numFmtId="17" fontId="3" fillId="0" borderId="12" xfId="0" applyNumberFormat="1" applyFont="1" applyBorder="1" applyAlignment="1">
      <alignment horizontal="center"/>
    </xf>
    <xf numFmtId="43" fontId="2" fillId="3" borderId="25" xfId="1" applyFont="1" applyFill="1" applyBorder="1" applyAlignment="1">
      <alignment horizontal="center" vertical="center" wrapText="1"/>
    </xf>
    <xf numFmtId="43" fontId="2" fillId="3" borderId="13" xfId="1" applyFont="1" applyFill="1" applyBorder="1" applyAlignment="1">
      <alignment horizontal="center" vertical="center" wrapText="1"/>
    </xf>
    <xf numFmtId="43" fontId="2" fillId="3" borderId="14" xfId="1" applyFont="1" applyFill="1" applyBorder="1" applyAlignment="1">
      <alignment horizontal="center" vertical="center" wrapText="1"/>
    </xf>
    <xf numFmtId="17" fontId="2" fillId="3" borderId="8" xfId="0" applyNumberFormat="1" applyFont="1" applyFill="1" applyBorder="1" applyAlignment="1">
      <alignment horizontal="center" vertical="center"/>
    </xf>
    <xf numFmtId="43" fontId="2" fillId="3" borderId="8" xfId="1" applyNumberFormat="1" applyFont="1" applyFill="1" applyBorder="1"/>
    <xf numFmtId="43" fontId="0" fillId="5" borderId="0" xfId="1" applyFont="1" applyFill="1" applyBorder="1"/>
    <xf numFmtId="43" fontId="0" fillId="0" borderId="27" xfId="1" applyFont="1" applyBorder="1"/>
    <xf numFmtId="43" fontId="0" fillId="0" borderId="28" xfId="1" applyFont="1" applyBorder="1"/>
    <xf numFmtId="43" fontId="0" fillId="0" borderId="29" xfId="1" applyFont="1" applyBorder="1"/>
    <xf numFmtId="43" fontId="2" fillId="2" borderId="30" xfId="1" applyFont="1" applyFill="1" applyBorder="1"/>
    <xf numFmtId="43" fontId="0" fillId="0" borderId="4" xfId="1" applyFont="1" applyBorder="1"/>
    <xf numFmtId="43" fontId="0" fillId="0" borderId="6" xfId="1" applyFont="1" applyBorder="1"/>
    <xf numFmtId="43" fontId="0" fillId="0" borderId="5" xfId="1" applyFont="1" applyBorder="1"/>
    <xf numFmtId="43" fontId="0" fillId="0" borderId="12" xfId="1" applyFont="1" applyBorder="1"/>
    <xf numFmtId="43" fontId="0" fillId="0" borderId="13" xfId="1" applyFont="1" applyBorder="1"/>
    <xf numFmtId="43" fontId="0" fillId="0" borderId="14" xfId="1" applyFont="1" applyBorder="1"/>
    <xf numFmtId="43" fontId="2" fillId="4" borderId="32" xfId="1" applyFont="1" applyFill="1" applyBorder="1" applyAlignment="1">
      <alignment horizontal="center" vertical="center" wrapText="1"/>
    </xf>
    <xf numFmtId="43" fontId="2" fillId="4" borderId="15" xfId="1" applyFont="1" applyFill="1" applyBorder="1" applyAlignment="1">
      <alignment horizontal="center" vertical="center" wrapText="1"/>
    </xf>
    <xf numFmtId="43" fontId="2" fillId="4" borderId="11" xfId="1" applyFont="1" applyFill="1" applyBorder="1" applyAlignment="1">
      <alignment horizontal="center" vertical="center" wrapText="1"/>
    </xf>
    <xf numFmtId="17" fontId="2" fillId="4" borderId="33" xfId="0" applyNumberFormat="1" applyFont="1" applyFill="1" applyBorder="1" applyAlignment="1">
      <alignment horizontal="center" vertical="center"/>
    </xf>
    <xf numFmtId="43" fontId="2" fillId="4" borderId="33" xfId="1" applyNumberFormat="1" applyFont="1" applyFill="1" applyBorder="1"/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3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/>
    </xf>
    <xf numFmtId="2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sqref="A1:N16"/>
    </sheetView>
  </sheetViews>
  <sheetFormatPr defaultRowHeight="14.5" x14ac:dyDescent="0.35"/>
  <cols>
    <col min="1" max="1" width="14.453125" bestFit="1" customWidth="1"/>
    <col min="3" max="3" width="7.81640625" bestFit="1" customWidth="1"/>
    <col min="4" max="4" width="8.54296875" bestFit="1" customWidth="1"/>
    <col min="6" max="6" width="13.81640625" bestFit="1" customWidth="1"/>
    <col min="11" max="11" width="13.81640625" bestFit="1" customWidth="1"/>
  </cols>
  <sheetData>
    <row r="1" spans="1:14" ht="30" customHeight="1" thickBot="1" x14ac:dyDescent="0.4">
      <c r="A1" s="87" t="s">
        <v>106</v>
      </c>
      <c r="B1" s="88"/>
      <c r="C1" s="88"/>
      <c r="D1" s="89"/>
      <c r="F1" s="96" t="s">
        <v>138</v>
      </c>
      <c r="G1" s="97"/>
      <c r="H1" s="97"/>
      <c r="I1" s="98"/>
      <c r="K1" s="87" t="s">
        <v>139</v>
      </c>
      <c r="L1" s="88"/>
      <c r="M1" s="88"/>
      <c r="N1" s="89"/>
    </row>
    <row r="2" spans="1:14" x14ac:dyDescent="0.35">
      <c r="A2" s="90" t="s">
        <v>0</v>
      </c>
      <c r="B2" s="92" t="s">
        <v>52</v>
      </c>
      <c r="C2" s="93"/>
      <c r="D2" s="94"/>
      <c r="F2" s="99" t="s">
        <v>0</v>
      </c>
      <c r="G2" s="101" t="s">
        <v>52</v>
      </c>
      <c r="H2" s="102"/>
      <c r="I2" s="103"/>
      <c r="K2" s="90" t="s">
        <v>0</v>
      </c>
      <c r="L2" s="92" t="s">
        <v>52</v>
      </c>
      <c r="M2" s="93"/>
      <c r="N2" s="94"/>
    </row>
    <row r="3" spans="1:14" ht="44" thickBot="1" x14ac:dyDescent="0.4">
      <c r="A3" s="95"/>
      <c r="B3" s="38" t="s">
        <v>61</v>
      </c>
      <c r="C3" s="39" t="s">
        <v>80</v>
      </c>
      <c r="D3" s="40" t="s">
        <v>81</v>
      </c>
      <c r="F3" s="100"/>
      <c r="G3" s="57" t="s">
        <v>61</v>
      </c>
      <c r="H3" s="58" t="s">
        <v>80</v>
      </c>
      <c r="I3" s="59" t="s">
        <v>81</v>
      </c>
      <c r="K3" s="91"/>
      <c r="L3" s="73" t="s">
        <v>61</v>
      </c>
      <c r="M3" s="74" t="s">
        <v>80</v>
      </c>
      <c r="N3" s="75" t="s">
        <v>81</v>
      </c>
    </row>
    <row r="4" spans="1:14" x14ac:dyDescent="0.35">
      <c r="A4" s="21">
        <v>46113</v>
      </c>
      <c r="B4" s="24">
        <v>9.4130000000000003</v>
      </c>
      <c r="C4" s="24">
        <v>4.5737500000000004</v>
      </c>
      <c r="D4" s="25">
        <v>5.3970250000000002</v>
      </c>
      <c r="F4" s="54">
        <v>46113</v>
      </c>
      <c r="G4" s="24">
        <v>-15.93</v>
      </c>
      <c r="H4" s="24">
        <v>-3.25</v>
      </c>
      <c r="I4" s="25">
        <v>-3.84</v>
      </c>
      <c r="K4" s="54">
        <v>46113</v>
      </c>
      <c r="L4" s="24">
        <f t="shared" ref="L4:N6" si="0">B4+G4</f>
        <v>-6.5169999999999995</v>
      </c>
      <c r="M4" s="24">
        <f t="shared" si="0"/>
        <v>1.3237500000000004</v>
      </c>
      <c r="N4" s="25">
        <f t="shared" si="0"/>
        <v>1.5570250000000003</v>
      </c>
    </row>
    <row r="5" spans="1:14" x14ac:dyDescent="0.35">
      <c r="A5" s="22">
        <v>46143</v>
      </c>
      <c r="B5" s="26">
        <v>17.161000000000001</v>
      </c>
      <c r="C5" s="26">
        <v>8.2865000000000002</v>
      </c>
      <c r="D5" s="27">
        <v>9.7780699999999996</v>
      </c>
      <c r="F5" s="55">
        <v>46143</v>
      </c>
      <c r="G5" s="26">
        <v>-7.375</v>
      </c>
      <c r="H5" s="26">
        <v>-0.91</v>
      </c>
      <c r="I5" s="27">
        <v>-1.0738000000000001</v>
      </c>
      <c r="K5" s="55">
        <v>46143</v>
      </c>
      <c r="L5" s="26">
        <f t="shared" si="0"/>
        <v>9.7860000000000014</v>
      </c>
      <c r="M5" s="26">
        <f t="shared" si="0"/>
        <v>7.3765000000000001</v>
      </c>
      <c r="N5" s="27">
        <f t="shared" si="0"/>
        <v>8.7042699999999993</v>
      </c>
    </row>
    <row r="6" spans="1:14" x14ac:dyDescent="0.35">
      <c r="A6" s="22">
        <v>46174</v>
      </c>
      <c r="B6" s="26">
        <v>73.709999999999994</v>
      </c>
      <c r="C6" s="26">
        <v>21.454999999999998</v>
      </c>
      <c r="D6" s="27">
        <v>25.3169</v>
      </c>
      <c r="F6" s="55">
        <v>46174</v>
      </c>
      <c r="G6" s="26">
        <v>0</v>
      </c>
      <c r="H6" s="26">
        <v>0</v>
      </c>
      <c r="I6" s="27">
        <v>0</v>
      </c>
      <c r="K6" s="55">
        <v>46174</v>
      </c>
      <c r="L6" s="26">
        <f t="shared" si="0"/>
        <v>73.709999999999994</v>
      </c>
      <c r="M6" s="26">
        <f t="shared" ref="M6" si="1">C6+H6</f>
        <v>21.454999999999998</v>
      </c>
      <c r="N6" s="27">
        <f t="shared" ref="N6" si="2">D6+I6</f>
        <v>25.3169</v>
      </c>
    </row>
    <row r="7" spans="1:14" ht="15" thickBot="1" x14ac:dyDescent="0.4">
      <c r="A7" s="22">
        <v>46204</v>
      </c>
      <c r="B7" s="26"/>
      <c r="C7" s="26"/>
      <c r="D7" s="27"/>
      <c r="F7" s="55">
        <v>46204</v>
      </c>
      <c r="G7" s="26"/>
      <c r="H7" s="26"/>
      <c r="I7" s="27"/>
      <c r="K7" s="55">
        <v>46204</v>
      </c>
      <c r="L7" s="26"/>
      <c r="M7" s="26"/>
      <c r="N7" s="27"/>
    </row>
    <row r="8" spans="1:14" hidden="1" x14ac:dyDescent="0.35">
      <c r="A8" s="22">
        <v>46235</v>
      </c>
      <c r="B8" s="26"/>
      <c r="C8" s="26"/>
      <c r="D8" s="27"/>
      <c r="F8" s="55">
        <v>46235</v>
      </c>
      <c r="G8" s="26"/>
      <c r="H8" s="26"/>
      <c r="I8" s="27"/>
      <c r="K8" s="55">
        <v>46235</v>
      </c>
      <c r="L8" s="26"/>
      <c r="M8" s="26"/>
      <c r="N8" s="27"/>
    </row>
    <row r="9" spans="1:14" hidden="1" x14ac:dyDescent="0.35">
      <c r="A9" s="22">
        <v>46266</v>
      </c>
      <c r="B9" s="28"/>
      <c r="C9" s="28"/>
      <c r="D9" s="29"/>
      <c r="F9" s="55">
        <v>46266</v>
      </c>
      <c r="G9" s="28"/>
      <c r="H9" s="28"/>
      <c r="I9" s="29"/>
      <c r="K9" s="55">
        <v>46266</v>
      </c>
      <c r="L9" s="28"/>
      <c r="M9" s="28"/>
      <c r="N9" s="29"/>
    </row>
    <row r="10" spans="1:14" hidden="1" x14ac:dyDescent="0.35">
      <c r="A10" s="22">
        <v>46296</v>
      </c>
      <c r="B10" s="28"/>
      <c r="C10" s="28"/>
      <c r="D10" s="29"/>
      <c r="F10" s="55">
        <v>46296</v>
      </c>
      <c r="G10" s="28"/>
      <c r="H10" s="28"/>
      <c r="I10" s="29"/>
      <c r="K10" s="55">
        <v>46296</v>
      </c>
      <c r="L10" s="28"/>
      <c r="M10" s="28"/>
      <c r="N10" s="29"/>
    </row>
    <row r="11" spans="1:14" hidden="1" x14ac:dyDescent="0.35">
      <c r="A11" s="22">
        <v>46327</v>
      </c>
      <c r="B11" s="28"/>
      <c r="C11" s="28"/>
      <c r="D11" s="29"/>
      <c r="F11" s="55">
        <v>46327</v>
      </c>
      <c r="G11" s="28"/>
      <c r="H11" s="28"/>
      <c r="I11" s="29"/>
      <c r="K11" s="55">
        <v>46327</v>
      </c>
      <c r="L11" s="28"/>
      <c r="M11" s="28"/>
      <c r="N11" s="29"/>
    </row>
    <row r="12" spans="1:14" hidden="1" x14ac:dyDescent="0.35">
      <c r="A12" s="22">
        <v>46357</v>
      </c>
      <c r="B12" s="28"/>
      <c r="C12" s="28"/>
      <c r="D12" s="29"/>
      <c r="F12" s="55">
        <v>46357</v>
      </c>
      <c r="G12" s="28"/>
      <c r="H12" s="28"/>
      <c r="I12" s="29"/>
      <c r="K12" s="55">
        <v>46357</v>
      </c>
      <c r="L12" s="28"/>
      <c r="M12" s="28"/>
      <c r="N12" s="29"/>
    </row>
    <row r="13" spans="1:14" hidden="1" x14ac:dyDescent="0.35">
      <c r="A13" s="22">
        <v>46388</v>
      </c>
      <c r="B13" s="28"/>
      <c r="C13" s="30"/>
      <c r="D13" s="31"/>
      <c r="F13" s="55">
        <v>46388</v>
      </c>
      <c r="G13" s="28"/>
      <c r="H13" s="30"/>
      <c r="I13" s="31"/>
      <c r="K13" s="55">
        <v>46388</v>
      </c>
      <c r="L13" s="28"/>
      <c r="M13" s="30"/>
      <c r="N13" s="31"/>
    </row>
    <row r="14" spans="1:14" hidden="1" x14ac:dyDescent="0.35">
      <c r="A14" s="22">
        <v>46419</v>
      </c>
      <c r="B14" s="32"/>
      <c r="C14" s="32"/>
      <c r="D14" s="33"/>
      <c r="F14" s="55">
        <v>46419</v>
      </c>
      <c r="G14" s="32"/>
      <c r="H14" s="32"/>
      <c r="I14" s="33"/>
      <c r="K14" s="55">
        <v>46419</v>
      </c>
      <c r="L14" s="32"/>
      <c r="M14" s="32"/>
      <c r="N14" s="33"/>
    </row>
    <row r="15" spans="1:14" ht="15" hidden="1" thickBot="1" x14ac:dyDescent="0.4">
      <c r="A15" s="23">
        <v>46447</v>
      </c>
      <c r="B15" s="34"/>
      <c r="C15" s="34"/>
      <c r="D15" s="35"/>
      <c r="F15" s="56">
        <v>46447</v>
      </c>
      <c r="G15" s="34"/>
      <c r="H15" s="34"/>
      <c r="I15" s="35"/>
      <c r="K15" s="56">
        <v>46447</v>
      </c>
      <c r="L15" s="34"/>
      <c r="M15" s="34"/>
      <c r="N15" s="35"/>
    </row>
    <row r="16" spans="1:14" ht="15" thickBot="1" x14ac:dyDescent="0.4">
      <c r="A16" s="41" t="s">
        <v>82</v>
      </c>
      <c r="B16" s="42">
        <f>SUM(B4:B15)</f>
        <v>100.28399999999999</v>
      </c>
      <c r="C16" s="42">
        <f>SUM(C4:C15)</f>
        <v>34.315249999999999</v>
      </c>
      <c r="D16" s="42">
        <f>SUM(D4:D15)</f>
        <v>40.491995000000003</v>
      </c>
      <c r="F16" s="60" t="s">
        <v>82</v>
      </c>
      <c r="G16" s="61">
        <f>SUM(G4:G15)</f>
        <v>-23.305</v>
      </c>
      <c r="H16" s="61">
        <f>SUM(H4:H15)</f>
        <v>-4.16</v>
      </c>
      <c r="I16" s="61">
        <f>SUM(I4:I15)</f>
        <v>-4.9138000000000002</v>
      </c>
      <c r="K16" s="76" t="s">
        <v>82</v>
      </c>
      <c r="L16" s="77">
        <f>SUM(L4:L15)</f>
        <v>76.978999999999999</v>
      </c>
      <c r="M16" s="77">
        <f>SUM(M4:M15)</f>
        <v>30.155249999999999</v>
      </c>
      <c r="N16" s="77">
        <f>SUM(N4:N15)</f>
        <v>35.578195000000001</v>
      </c>
    </row>
    <row r="20" spans="7:7" x14ac:dyDescent="0.35">
      <c r="G20" s="80"/>
    </row>
  </sheetData>
  <mergeCells count="9">
    <mergeCell ref="K1:N1"/>
    <mergeCell ref="K2:K3"/>
    <mergeCell ref="L2:N2"/>
    <mergeCell ref="A1:D1"/>
    <mergeCell ref="A2:A3"/>
    <mergeCell ref="B2:D2"/>
    <mergeCell ref="F1:I1"/>
    <mergeCell ref="F2:F3"/>
    <mergeCell ref="G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zoomScale="80" zoomScaleNormal="80" workbookViewId="0">
      <selection sqref="A1:XFD1048576"/>
    </sheetView>
  </sheetViews>
  <sheetFormatPr defaultRowHeight="14.5" x14ac:dyDescent="0.35"/>
  <cols>
    <col min="1" max="1" width="6.1796875" bestFit="1" customWidth="1"/>
    <col min="2" max="2" width="27" bestFit="1" customWidth="1"/>
    <col min="4" max="4" width="7.81640625" customWidth="1"/>
    <col min="5" max="5" width="8.54296875" bestFit="1" customWidth="1"/>
  </cols>
  <sheetData>
    <row r="1" spans="1:11" x14ac:dyDescent="0.35">
      <c r="A1" s="104" t="s">
        <v>4</v>
      </c>
      <c r="B1" s="106" t="s">
        <v>83</v>
      </c>
      <c r="C1" s="108">
        <v>46113</v>
      </c>
      <c r="D1" s="109"/>
      <c r="E1" s="110"/>
      <c r="F1" s="108">
        <v>46143</v>
      </c>
      <c r="G1" s="109"/>
      <c r="H1" s="110"/>
      <c r="I1" s="108">
        <v>46174</v>
      </c>
      <c r="J1" s="109"/>
      <c r="K1" s="110"/>
    </row>
    <row r="2" spans="1:11" ht="58.5" thickBot="1" x14ac:dyDescent="0.4">
      <c r="A2" s="105"/>
      <c r="B2" s="107"/>
      <c r="C2" s="13" t="s">
        <v>61</v>
      </c>
      <c r="D2" s="14" t="s">
        <v>62</v>
      </c>
      <c r="E2" s="15" t="s">
        <v>63</v>
      </c>
      <c r="F2" s="13" t="s">
        <v>61</v>
      </c>
      <c r="G2" s="14" t="s">
        <v>62</v>
      </c>
      <c r="H2" s="15" t="s">
        <v>63</v>
      </c>
      <c r="I2" s="13" t="s">
        <v>61</v>
      </c>
      <c r="J2" s="14" t="s">
        <v>62</v>
      </c>
      <c r="K2" s="15" t="s">
        <v>63</v>
      </c>
    </row>
    <row r="3" spans="1:11" x14ac:dyDescent="0.35">
      <c r="A3" s="43" t="s">
        <v>64</v>
      </c>
      <c r="B3" s="44" t="s">
        <v>53</v>
      </c>
      <c r="C3" s="5">
        <v>0</v>
      </c>
      <c r="D3" s="6">
        <v>0</v>
      </c>
      <c r="E3" s="65">
        <v>0</v>
      </c>
      <c r="F3" s="67">
        <v>0</v>
      </c>
      <c r="G3" s="68">
        <v>0</v>
      </c>
      <c r="H3" s="69">
        <v>0</v>
      </c>
      <c r="I3" s="67">
        <v>30.7</v>
      </c>
      <c r="J3" s="68">
        <v>6.4470000000000001</v>
      </c>
      <c r="K3" s="69">
        <v>7.6074599999999997</v>
      </c>
    </row>
    <row r="4" spans="1:11" x14ac:dyDescent="0.35">
      <c r="A4" s="43" t="s">
        <v>64</v>
      </c>
      <c r="B4" s="44" t="s">
        <v>65</v>
      </c>
      <c r="C4" s="8">
        <v>4.3250000000000002</v>
      </c>
      <c r="D4" s="9">
        <v>1.5569999999999999</v>
      </c>
      <c r="E4" s="64">
        <v>1.8372599999999999</v>
      </c>
      <c r="F4" s="5">
        <v>2.1</v>
      </c>
      <c r="G4" s="6">
        <v>0.75600000000000001</v>
      </c>
      <c r="H4" s="7">
        <v>0.89207999999999998</v>
      </c>
      <c r="I4" s="5">
        <v>0</v>
      </c>
      <c r="J4" s="6">
        <v>0</v>
      </c>
      <c r="K4" s="7">
        <v>0</v>
      </c>
    </row>
    <row r="5" spans="1:11" hidden="1" x14ac:dyDescent="0.35">
      <c r="A5" s="43" t="s">
        <v>64</v>
      </c>
      <c r="B5" s="44" t="s">
        <v>66</v>
      </c>
      <c r="C5" s="8">
        <v>0</v>
      </c>
      <c r="D5" s="9">
        <v>0</v>
      </c>
      <c r="E5" s="64">
        <v>0</v>
      </c>
      <c r="F5" s="5">
        <v>0</v>
      </c>
      <c r="G5" s="6">
        <v>0</v>
      </c>
      <c r="H5" s="7">
        <v>0</v>
      </c>
      <c r="I5" s="5">
        <v>0</v>
      </c>
      <c r="J5" s="6">
        <v>0</v>
      </c>
      <c r="K5" s="7">
        <v>0</v>
      </c>
    </row>
    <row r="6" spans="1:11" hidden="1" x14ac:dyDescent="0.35">
      <c r="A6" s="43" t="s">
        <v>64</v>
      </c>
      <c r="B6" s="44" t="s">
        <v>55</v>
      </c>
      <c r="C6" s="8"/>
      <c r="D6" s="9"/>
      <c r="E6" s="64"/>
      <c r="F6" s="5">
        <v>0</v>
      </c>
      <c r="G6" s="6">
        <v>0</v>
      </c>
      <c r="H6" s="7">
        <v>0</v>
      </c>
      <c r="I6" s="5">
        <v>0</v>
      </c>
      <c r="J6" s="6">
        <v>0</v>
      </c>
      <c r="K6" s="7">
        <v>0</v>
      </c>
    </row>
    <row r="7" spans="1:11" hidden="1" x14ac:dyDescent="0.35">
      <c r="A7" s="43" t="s">
        <v>64</v>
      </c>
      <c r="B7" s="44" t="s">
        <v>67</v>
      </c>
      <c r="C7" s="8">
        <v>0</v>
      </c>
      <c r="D7" s="9">
        <v>0</v>
      </c>
      <c r="E7" s="64">
        <v>0</v>
      </c>
      <c r="F7" s="5">
        <v>0</v>
      </c>
      <c r="G7" s="6">
        <v>0</v>
      </c>
      <c r="H7" s="7">
        <v>0</v>
      </c>
      <c r="I7" s="5">
        <v>0</v>
      </c>
      <c r="J7" s="6">
        <v>0</v>
      </c>
      <c r="K7" s="7">
        <v>0</v>
      </c>
    </row>
    <row r="8" spans="1:11" hidden="1" x14ac:dyDescent="0.35">
      <c r="A8" s="45" t="s">
        <v>68</v>
      </c>
      <c r="B8" s="44" t="s">
        <v>69</v>
      </c>
      <c r="C8" s="8">
        <v>0</v>
      </c>
      <c r="D8" s="9">
        <v>0</v>
      </c>
      <c r="E8" s="64">
        <v>0</v>
      </c>
      <c r="F8" s="5">
        <v>0</v>
      </c>
      <c r="G8" s="6">
        <v>0</v>
      </c>
      <c r="H8" s="7">
        <v>0</v>
      </c>
      <c r="I8" s="5">
        <v>0</v>
      </c>
      <c r="J8" s="6">
        <v>0</v>
      </c>
      <c r="K8" s="7">
        <v>0</v>
      </c>
    </row>
    <row r="9" spans="1:11" hidden="1" x14ac:dyDescent="0.35">
      <c r="A9" s="45" t="s">
        <v>68</v>
      </c>
      <c r="B9" s="44" t="s">
        <v>70</v>
      </c>
      <c r="C9" s="8">
        <v>0</v>
      </c>
      <c r="D9" s="9">
        <v>0</v>
      </c>
      <c r="E9" s="64">
        <v>0</v>
      </c>
      <c r="F9" s="5">
        <v>0</v>
      </c>
      <c r="G9" s="6">
        <v>0</v>
      </c>
      <c r="H9" s="7">
        <v>0</v>
      </c>
      <c r="I9" s="5">
        <v>0</v>
      </c>
      <c r="J9" s="6">
        <v>0</v>
      </c>
      <c r="K9" s="7">
        <v>0</v>
      </c>
    </row>
    <row r="10" spans="1:11" hidden="1" x14ac:dyDescent="0.35">
      <c r="A10" s="45" t="s">
        <v>68</v>
      </c>
      <c r="B10" s="44" t="s">
        <v>71</v>
      </c>
      <c r="C10" s="8">
        <v>0</v>
      </c>
      <c r="D10" s="9">
        <v>0</v>
      </c>
      <c r="E10" s="64">
        <v>0</v>
      </c>
      <c r="F10" s="5">
        <v>0</v>
      </c>
      <c r="G10" s="6">
        <v>0</v>
      </c>
      <c r="H10" s="7">
        <v>0</v>
      </c>
      <c r="I10" s="5">
        <v>0</v>
      </c>
      <c r="J10" s="6">
        <v>0</v>
      </c>
      <c r="K10" s="7">
        <v>0</v>
      </c>
    </row>
    <row r="11" spans="1:11" hidden="1" x14ac:dyDescent="0.35">
      <c r="A11" s="43" t="s">
        <v>36</v>
      </c>
      <c r="B11" s="44" t="s">
        <v>56</v>
      </c>
      <c r="C11" s="8">
        <v>0</v>
      </c>
      <c r="D11" s="9">
        <v>0</v>
      </c>
      <c r="E11" s="64">
        <v>0</v>
      </c>
      <c r="F11" s="5">
        <v>0</v>
      </c>
      <c r="G11" s="6">
        <v>0</v>
      </c>
      <c r="H11" s="7">
        <v>0</v>
      </c>
      <c r="I11" s="5">
        <v>0</v>
      </c>
      <c r="J11" s="6">
        <v>0</v>
      </c>
      <c r="K11" s="7">
        <v>0</v>
      </c>
    </row>
    <row r="12" spans="1:11" hidden="1" x14ac:dyDescent="0.35">
      <c r="A12" s="43" t="s">
        <v>36</v>
      </c>
      <c r="B12" s="44" t="s">
        <v>72</v>
      </c>
      <c r="C12" s="8">
        <v>0</v>
      </c>
      <c r="D12" s="9">
        <v>0</v>
      </c>
      <c r="E12" s="64">
        <v>0</v>
      </c>
      <c r="F12" s="5">
        <v>0</v>
      </c>
      <c r="G12" s="6">
        <v>0</v>
      </c>
      <c r="H12" s="7">
        <v>0</v>
      </c>
      <c r="I12" s="5">
        <v>0</v>
      </c>
      <c r="J12" s="6">
        <v>0</v>
      </c>
      <c r="K12" s="7">
        <v>0</v>
      </c>
    </row>
    <row r="13" spans="1:11" x14ac:dyDescent="0.35">
      <c r="A13" s="43" t="s">
        <v>36</v>
      </c>
      <c r="B13" s="44" t="s">
        <v>57</v>
      </c>
      <c r="C13" s="8">
        <v>0</v>
      </c>
      <c r="D13" s="9">
        <v>0</v>
      </c>
      <c r="E13" s="64">
        <v>0</v>
      </c>
      <c r="F13" s="5">
        <v>0</v>
      </c>
      <c r="G13" s="6">
        <v>0</v>
      </c>
      <c r="H13" s="7">
        <v>0</v>
      </c>
      <c r="I13" s="5">
        <v>8.8249999999999993</v>
      </c>
      <c r="J13" s="6">
        <v>0.61775000000000002</v>
      </c>
      <c r="K13" s="7">
        <v>0.72894499999999995</v>
      </c>
    </row>
    <row r="14" spans="1:11" x14ac:dyDescent="0.35">
      <c r="A14" s="43" t="s">
        <v>36</v>
      </c>
      <c r="B14" s="44" t="s">
        <v>37</v>
      </c>
      <c r="C14" s="8">
        <v>-3.35</v>
      </c>
      <c r="D14" s="9">
        <v>-0.108875</v>
      </c>
      <c r="E14" s="64">
        <v>-0.12847249999999999</v>
      </c>
      <c r="F14" s="5">
        <v>-3.8</v>
      </c>
      <c r="G14" s="6">
        <v>-0.1235</v>
      </c>
      <c r="H14" s="7">
        <v>-0.14573</v>
      </c>
      <c r="I14" s="5">
        <v>5.2</v>
      </c>
      <c r="J14" s="6">
        <v>0.16900000000000001</v>
      </c>
      <c r="K14" s="7">
        <v>0.19941999999999999</v>
      </c>
    </row>
    <row r="15" spans="1:11" x14ac:dyDescent="0.35">
      <c r="A15" s="43" t="s">
        <v>73</v>
      </c>
      <c r="B15" s="44" t="s">
        <v>74</v>
      </c>
      <c r="C15" s="8">
        <v>-12.574999999999999</v>
      </c>
      <c r="D15" s="9">
        <v>-3.1437499999999998</v>
      </c>
      <c r="E15" s="64">
        <v>-3.709625</v>
      </c>
      <c r="F15" s="5">
        <v>0</v>
      </c>
      <c r="G15" s="6">
        <v>0</v>
      </c>
      <c r="H15" s="7">
        <v>0</v>
      </c>
      <c r="I15" s="5">
        <v>0</v>
      </c>
      <c r="J15" s="6">
        <v>0</v>
      </c>
      <c r="K15" s="7">
        <v>0</v>
      </c>
    </row>
    <row r="16" spans="1:11" hidden="1" x14ac:dyDescent="0.35">
      <c r="A16" s="43" t="s">
        <v>73</v>
      </c>
      <c r="B16" s="44" t="s">
        <v>75</v>
      </c>
      <c r="C16" s="8">
        <v>0</v>
      </c>
      <c r="D16" s="9">
        <v>0</v>
      </c>
      <c r="E16" s="64">
        <v>0</v>
      </c>
      <c r="F16" s="5">
        <v>0</v>
      </c>
      <c r="G16" s="6">
        <v>0</v>
      </c>
      <c r="H16" s="7">
        <v>0</v>
      </c>
      <c r="I16" s="5">
        <v>0</v>
      </c>
      <c r="J16" s="6">
        <v>0</v>
      </c>
      <c r="K16" s="7">
        <v>0</v>
      </c>
    </row>
    <row r="17" spans="1:11" hidden="1" x14ac:dyDescent="0.35">
      <c r="A17" s="43" t="s">
        <v>73</v>
      </c>
      <c r="B17" s="44" t="s">
        <v>76</v>
      </c>
      <c r="C17" s="8">
        <v>0</v>
      </c>
      <c r="D17" s="9">
        <v>0</v>
      </c>
      <c r="E17" s="64">
        <v>0</v>
      </c>
      <c r="F17" s="5">
        <v>0</v>
      </c>
      <c r="G17" s="6">
        <v>0</v>
      </c>
      <c r="H17" s="7">
        <v>0</v>
      </c>
      <c r="I17" s="5">
        <v>0</v>
      </c>
      <c r="J17" s="6">
        <v>0</v>
      </c>
      <c r="K17" s="7">
        <v>0</v>
      </c>
    </row>
    <row r="18" spans="1:11" hidden="1" x14ac:dyDescent="0.35">
      <c r="A18" s="43" t="s">
        <v>73</v>
      </c>
      <c r="B18" s="44" t="s">
        <v>58</v>
      </c>
      <c r="C18" s="8">
        <v>0</v>
      </c>
      <c r="D18" s="9">
        <v>0</v>
      </c>
      <c r="E18" s="64">
        <v>0</v>
      </c>
      <c r="F18" s="5">
        <v>0</v>
      </c>
      <c r="G18" s="6">
        <v>0</v>
      </c>
      <c r="H18" s="7">
        <v>0</v>
      </c>
      <c r="I18" s="5">
        <v>0</v>
      </c>
      <c r="J18" s="6">
        <v>0</v>
      </c>
      <c r="K18" s="7">
        <v>0</v>
      </c>
    </row>
    <row r="19" spans="1:11" hidden="1" x14ac:dyDescent="0.35">
      <c r="A19" s="43" t="s">
        <v>73</v>
      </c>
      <c r="B19" s="44" t="s">
        <v>77</v>
      </c>
      <c r="C19" s="8">
        <v>0</v>
      </c>
      <c r="D19" s="9">
        <v>0</v>
      </c>
      <c r="E19" s="64">
        <v>0</v>
      </c>
      <c r="F19" s="5">
        <v>0</v>
      </c>
      <c r="G19" s="6">
        <v>0</v>
      </c>
      <c r="H19" s="7">
        <v>0</v>
      </c>
      <c r="I19" s="5">
        <v>0</v>
      </c>
      <c r="J19" s="6">
        <v>0</v>
      </c>
      <c r="K19" s="7">
        <v>0</v>
      </c>
    </row>
    <row r="20" spans="1:11" hidden="1" x14ac:dyDescent="0.35">
      <c r="A20" s="43" t="s">
        <v>24</v>
      </c>
      <c r="B20" s="44" t="s">
        <v>78</v>
      </c>
      <c r="C20" s="8">
        <v>0</v>
      </c>
      <c r="D20" s="9">
        <v>0</v>
      </c>
      <c r="E20" s="64">
        <v>0</v>
      </c>
      <c r="F20" s="5">
        <v>0</v>
      </c>
      <c r="G20" s="6">
        <v>0</v>
      </c>
      <c r="H20" s="7">
        <v>0</v>
      </c>
      <c r="I20" s="5">
        <v>0</v>
      </c>
      <c r="J20" s="6">
        <v>0</v>
      </c>
      <c r="K20" s="7">
        <v>0</v>
      </c>
    </row>
    <row r="21" spans="1:11" hidden="1" x14ac:dyDescent="0.35">
      <c r="A21" s="43" t="s">
        <v>24</v>
      </c>
      <c r="B21" s="44" t="s">
        <v>79</v>
      </c>
      <c r="C21" s="8">
        <v>0</v>
      </c>
      <c r="D21" s="9">
        <v>0</v>
      </c>
      <c r="E21" s="64">
        <v>0</v>
      </c>
      <c r="F21" s="5">
        <v>0</v>
      </c>
      <c r="G21" s="6">
        <v>0</v>
      </c>
      <c r="H21" s="7">
        <v>0</v>
      </c>
      <c r="I21" s="5">
        <v>0</v>
      </c>
      <c r="J21" s="6">
        <v>0</v>
      </c>
      <c r="K21" s="7">
        <v>0</v>
      </c>
    </row>
    <row r="22" spans="1:11" x14ac:dyDescent="0.35">
      <c r="A22" s="46" t="s">
        <v>24</v>
      </c>
      <c r="B22" s="47" t="s">
        <v>59</v>
      </c>
      <c r="C22" s="11">
        <v>0</v>
      </c>
      <c r="D22" s="12">
        <v>0</v>
      </c>
      <c r="E22" s="63">
        <v>0</v>
      </c>
      <c r="F22" s="5">
        <v>-3.5750000000000002</v>
      </c>
      <c r="G22" s="6">
        <v>-0.78649999999999998</v>
      </c>
      <c r="H22" s="7">
        <v>-0.92806999999999995</v>
      </c>
      <c r="I22" s="5">
        <v>0</v>
      </c>
      <c r="J22" s="6">
        <v>0</v>
      </c>
      <c r="K22" s="7">
        <v>0</v>
      </c>
    </row>
    <row r="23" spans="1:11" x14ac:dyDescent="0.35">
      <c r="A23" s="46" t="s">
        <v>24</v>
      </c>
      <c r="B23" s="47" t="s">
        <v>25</v>
      </c>
      <c r="C23" s="11">
        <v>8.5730000000000004</v>
      </c>
      <c r="D23" s="12">
        <v>4.2865000000000002</v>
      </c>
      <c r="E23" s="63">
        <v>5.0580699999999998</v>
      </c>
      <c r="F23" s="8">
        <v>15.061</v>
      </c>
      <c r="G23" s="9">
        <v>7.5305</v>
      </c>
      <c r="H23" s="10">
        <v>8.8859899999999996</v>
      </c>
      <c r="I23" s="8">
        <v>23.56</v>
      </c>
      <c r="J23" s="9">
        <v>11.78</v>
      </c>
      <c r="K23" s="10">
        <v>13.900399999999999</v>
      </c>
    </row>
    <row r="24" spans="1:11" ht="15" thickBot="1" x14ac:dyDescent="0.4">
      <c r="A24" s="46" t="s">
        <v>24</v>
      </c>
      <c r="B24" s="47" t="s">
        <v>142</v>
      </c>
      <c r="C24" s="8">
        <v>0</v>
      </c>
      <c r="D24" s="9">
        <v>0</v>
      </c>
      <c r="E24" s="64">
        <v>0</v>
      </c>
      <c r="F24" s="70">
        <v>0</v>
      </c>
      <c r="G24" s="71">
        <v>0</v>
      </c>
      <c r="H24" s="72">
        <v>0</v>
      </c>
      <c r="I24" s="70">
        <v>5.4249999999999998</v>
      </c>
      <c r="J24" s="71">
        <v>2.4412500000000001</v>
      </c>
      <c r="K24" s="72">
        <v>2.8806750000000001</v>
      </c>
    </row>
    <row r="25" spans="1:11" ht="15" thickBot="1" x14ac:dyDescent="0.4">
      <c r="A25" s="16"/>
      <c r="B25" s="17" t="s">
        <v>52</v>
      </c>
      <c r="C25" s="18">
        <f t="shared" ref="C25:H25" si="0">SUM(C3:C24)</f>
        <v>-3.0269999999999992</v>
      </c>
      <c r="D25" s="18">
        <f t="shared" si="0"/>
        <v>2.5908750000000005</v>
      </c>
      <c r="E25" s="18">
        <f t="shared" si="0"/>
        <v>3.0572324999999996</v>
      </c>
      <c r="F25" s="66">
        <f t="shared" si="0"/>
        <v>9.7859999999999996</v>
      </c>
      <c r="G25" s="66">
        <f t="shared" si="0"/>
        <v>7.3765000000000001</v>
      </c>
      <c r="H25" s="66">
        <f t="shared" si="0"/>
        <v>8.7042699999999993</v>
      </c>
      <c r="I25" s="66">
        <f t="shared" ref="I25:K25" si="1">SUM(I3:I24)</f>
        <v>73.709999999999994</v>
      </c>
      <c r="J25" s="66">
        <f t="shared" si="1"/>
        <v>21.454999999999998</v>
      </c>
      <c r="K25" s="66">
        <f t="shared" si="1"/>
        <v>25.3169</v>
      </c>
    </row>
    <row r="27" spans="1:11" x14ac:dyDescent="0.35">
      <c r="B27" s="62" t="s">
        <v>140</v>
      </c>
    </row>
  </sheetData>
  <autoFilter ref="A2:K2" xr:uid="{CE8DAFE9-91FD-414D-9633-36D792256BEE}"/>
  <mergeCells count="5">
    <mergeCell ref="A1:A2"/>
    <mergeCell ref="B1:B2"/>
    <mergeCell ref="C1:E1"/>
    <mergeCell ref="F1:H1"/>
    <mergeCell ref="I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B117"/>
  <sheetViews>
    <sheetView zoomScale="80" zoomScaleNormal="80" workbookViewId="0">
      <pane xSplit="7" ySplit="6" topLeftCell="H7" activePane="bottomRight" state="frozen"/>
      <selection pane="topRight" activeCell="G1" sqref="G1"/>
      <selection pane="bottomLeft" activeCell="A7" sqref="A7"/>
      <selection pane="bottomRight" sqref="A1:XFD1048576"/>
    </sheetView>
  </sheetViews>
  <sheetFormatPr defaultRowHeight="14.5" x14ac:dyDescent="0.35"/>
  <cols>
    <col min="1" max="1" width="13.81640625" style="81" bestFit="1" customWidth="1"/>
    <col min="2" max="2" width="12.54296875" style="81" bestFit="1" customWidth="1"/>
    <col min="3" max="3" width="11.1796875" style="81" bestFit="1" customWidth="1"/>
    <col min="4" max="4" width="18.7265625" bestFit="1" customWidth="1"/>
    <col min="5" max="5" width="26.453125" style="81" bestFit="1" customWidth="1"/>
    <col min="6" max="6" width="18.1796875" style="81" bestFit="1" customWidth="1"/>
    <col min="7" max="7" width="16.26953125" bestFit="1" customWidth="1"/>
    <col min="8" max="8" width="15" style="81" bestFit="1" customWidth="1"/>
    <col min="9" max="9" width="26" bestFit="1" customWidth="1"/>
    <col min="10" max="10" width="15" bestFit="1" customWidth="1"/>
    <col min="11" max="11" width="16.7265625" bestFit="1" customWidth="1"/>
    <col min="12" max="12" width="16.453125" bestFit="1" customWidth="1"/>
    <col min="13" max="13" width="13.453125" bestFit="1" customWidth="1"/>
    <col min="14" max="14" width="16.1796875" bestFit="1" customWidth="1"/>
    <col min="15" max="15" width="19.453125" bestFit="1" customWidth="1"/>
    <col min="16" max="16" width="16.7265625" bestFit="1" customWidth="1"/>
    <col min="17" max="17" width="14.26953125" bestFit="1" customWidth="1"/>
    <col min="18" max="18" width="22.81640625" bestFit="1" customWidth="1"/>
    <col min="19" max="19" width="17.1796875" bestFit="1" customWidth="1"/>
    <col min="20" max="20" width="20.1796875" bestFit="1" customWidth="1"/>
    <col min="21" max="21" width="20.54296875" bestFit="1" customWidth="1"/>
    <col min="22" max="22" width="15" style="85" bestFit="1" customWidth="1"/>
    <col min="23" max="23" width="12.81640625" bestFit="1" customWidth="1"/>
    <col min="24" max="24" width="14.1796875" bestFit="1" customWidth="1"/>
    <col min="25" max="25" width="12.26953125" bestFit="1" customWidth="1"/>
    <col min="26" max="26" width="15.1796875" bestFit="1" customWidth="1"/>
    <col min="27" max="27" width="14.1796875" bestFit="1" customWidth="1"/>
    <col min="28" max="28" width="17.1796875" bestFit="1" customWidth="1"/>
  </cols>
  <sheetData>
    <row r="2" spans="1:28" x14ac:dyDescent="0.35">
      <c r="O2" s="19">
        <f>O3/1000</f>
        <v>80.468999999999994</v>
      </c>
      <c r="P2" s="19"/>
      <c r="Q2" s="19"/>
      <c r="R2" s="19">
        <f>R3/10000000</f>
        <v>31.422374999999999</v>
      </c>
      <c r="S2" s="19"/>
      <c r="T2" s="19">
        <f>T3/10000000</f>
        <v>37.078402500000003</v>
      </c>
    </row>
    <row r="3" spans="1:28" x14ac:dyDescent="0.35">
      <c r="O3">
        <f>SUBTOTAL(9,O7:O117)</f>
        <v>80469</v>
      </c>
      <c r="P3">
        <f>SUBTOTAL(9,P7:P117)</f>
        <v>80469</v>
      </c>
      <c r="R3">
        <f>SUBTOTAL(9,R7:R117)</f>
        <v>314223750</v>
      </c>
      <c r="T3">
        <f>SUBTOTAL(9,T7:T117)</f>
        <v>370784025</v>
      </c>
    </row>
    <row r="5" spans="1:28" ht="21" x14ac:dyDescent="0.5">
      <c r="A5" s="111" t="s">
        <v>60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</row>
    <row r="6" spans="1:28" ht="25.5" customHeight="1" x14ac:dyDescent="0.35">
      <c r="A6" s="82" t="s">
        <v>103</v>
      </c>
      <c r="B6" s="82" t="s">
        <v>0</v>
      </c>
      <c r="C6" s="82" t="s">
        <v>4</v>
      </c>
      <c r="D6" s="20" t="s">
        <v>48</v>
      </c>
      <c r="E6" s="82" t="s">
        <v>1</v>
      </c>
      <c r="F6" s="82" t="s">
        <v>5</v>
      </c>
      <c r="G6" s="20" t="s">
        <v>6</v>
      </c>
      <c r="H6" s="82" t="s">
        <v>7</v>
      </c>
      <c r="I6" s="20" t="s">
        <v>8</v>
      </c>
      <c r="J6" s="20" t="s">
        <v>9</v>
      </c>
      <c r="K6" s="20" t="s">
        <v>10</v>
      </c>
      <c r="L6" s="20" t="s">
        <v>49</v>
      </c>
      <c r="M6" s="20" t="s">
        <v>11</v>
      </c>
      <c r="N6" s="20" t="s">
        <v>12</v>
      </c>
      <c r="O6" s="20" t="s">
        <v>13</v>
      </c>
      <c r="P6" s="20" t="s">
        <v>14</v>
      </c>
      <c r="Q6" s="20" t="s">
        <v>2</v>
      </c>
      <c r="R6" s="20" t="s">
        <v>50</v>
      </c>
      <c r="S6" s="20" t="s">
        <v>3</v>
      </c>
      <c r="T6" s="20" t="s">
        <v>51</v>
      </c>
      <c r="U6" s="20" t="s">
        <v>15</v>
      </c>
      <c r="V6" s="86" t="s">
        <v>16</v>
      </c>
      <c r="W6" s="20" t="s">
        <v>17</v>
      </c>
      <c r="X6" s="20" t="s">
        <v>18</v>
      </c>
      <c r="Y6" s="20" t="s">
        <v>19</v>
      </c>
      <c r="Z6" s="20" t="s">
        <v>20</v>
      </c>
      <c r="AA6" s="20" t="s">
        <v>21</v>
      </c>
      <c r="AB6" s="20" t="s">
        <v>22</v>
      </c>
    </row>
    <row r="7" spans="1:28" x14ac:dyDescent="0.35">
      <c r="A7" s="52" t="s">
        <v>104</v>
      </c>
      <c r="B7" s="52" t="s">
        <v>23</v>
      </c>
      <c r="C7" s="52" t="s">
        <v>24</v>
      </c>
      <c r="D7" s="3">
        <v>810001598</v>
      </c>
      <c r="E7" s="52" t="s">
        <v>25</v>
      </c>
      <c r="F7" s="52" t="s">
        <v>26</v>
      </c>
      <c r="G7" s="2">
        <v>46132</v>
      </c>
      <c r="H7" s="52" t="s">
        <v>27</v>
      </c>
      <c r="I7" s="1" t="s">
        <v>28</v>
      </c>
      <c r="J7" s="3">
        <v>38089390</v>
      </c>
      <c r="K7" s="3">
        <v>1000023376</v>
      </c>
      <c r="L7" s="3">
        <v>11192166</v>
      </c>
      <c r="M7" s="3">
        <v>801147294</v>
      </c>
      <c r="N7" s="3">
        <v>901348455</v>
      </c>
      <c r="O7" s="36">
        <v>1000</v>
      </c>
      <c r="P7" s="36">
        <v>1000</v>
      </c>
      <c r="Q7" s="36">
        <f>R7/P7</f>
        <v>5000</v>
      </c>
      <c r="R7" s="36">
        <v>5000000</v>
      </c>
      <c r="S7" s="36">
        <v>900000</v>
      </c>
      <c r="T7" s="36">
        <f>R7+S7</f>
        <v>5900000</v>
      </c>
      <c r="U7" s="1" t="s">
        <v>29</v>
      </c>
      <c r="V7" s="51" t="s">
        <v>30</v>
      </c>
      <c r="W7" s="1" t="s">
        <v>31</v>
      </c>
      <c r="X7" s="1" t="s">
        <v>30</v>
      </c>
      <c r="Y7" s="1" t="s">
        <v>32</v>
      </c>
      <c r="Z7" s="2">
        <v>46121</v>
      </c>
      <c r="AA7" s="2">
        <v>46851</v>
      </c>
      <c r="AB7" s="1" t="s">
        <v>30</v>
      </c>
    </row>
    <row r="8" spans="1:28" x14ac:dyDescent="0.35">
      <c r="A8" s="52" t="s">
        <v>104</v>
      </c>
      <c r="B8" s="52" t="s">
        <v>23</v>
      </c>
      <c r="C8" s="52" t="s">
        <v>24</v>
      </c>
      <c r="D8" s="3">
        <v>810001598</v>
      </c>
      <c r="E8" s="52" t="s">
        <v>25</v>
      </c>
      <c r="F8" s="52" t="s">
        <v>26</v>
      </c>
      <c r="G8" s="2">
        <v>46132</v>
      </c>
      <c r="H8" s="52" t="s">
        <v>27</v>
      </c>
      <c r="I8" s="1" t="s">
        <v>28</v>
      </c>
      <c r="J8" s="3">
        <v>38089390</v>
      </c>
      <c r="K8" s="3">
        <v>1000023376</v>
      </c>
      <c r="L8" s="3">
        <v>11192166</v>
      </c>
      <c r="M8" s="3">
        <v>801147294</v>
      </c>
      <c r="N8" s="3">
        <v>901348455</v>
      </c>
      <c r="O8" s="36">
        <v>1225</v>
      </c>
      <c r="P8" s="36">
        <v>1225</v>
      </c>
      <c r="Q8" s="36">
        <f t="shared" ref="Q8:Q29" si="0">R8/P8</f>
        <v>5000</v>
      </c>
      <c r="R8" s="36">
        <v>6125000</v>
      </c>
      <c r="S8" s="36">
        <v>1102500</v>
      </c>
      <c r="T8" s="36">
        <f t="shared" ref="T8:T15" si="1">R8+S8</f>
        <v>7227500</v>
      </c>
      <c r="U8" s="1" t="s">
        <v>29</v>
      </c>
      <c r="V8" s="51" t="s">
        <v>30</v>
      </c>
      <c r="W8" s="1" t="s">
        <v>31</v>
      </c>
      <c r="X8" s="1" t="s">
        <v>30</v>
      </c>
      <c r="Y8" s="1" t="s">
        <v>33</v>
      </c>
      <c r="Z8" s="2">
        <v>46122</v>
      </c>
      <c r="AA8" s="2">
        <v>46852</v>
      </c>
      <c r="AB8" s="1" t="s">
        <v>30</v>
      </c>
    </row>
    <row r="9" spans="1:28" x14ac:dyDescent="0.35">
      <c r="A9" s="52" t="s">
        <v>104</v>
      </c>
      <c r="B9" s="52" t="s">
        <v>23</v>
      </c>
      <c r="C9" s="52" t="s">
        <v>24</v>
      </c>
      <c r="D9" s="3">
        <v>810001598</v>
      </c>
      <c r="E9" s="52" t="s">
        <v>25</v>
      </c>
      <c r="F9" s="52" t="s">
        <v>26</v>
      </c>
      <c r="G9" s="2">
        <v>46132</v>
      </c>
      <c r="H9" s="52" t="s">
        <v>27</v>
      </c>
      <c r="I9" s="1" t="s">
        <v>28</v>
      </c>
      <c r="J9" s="3">
        <v>38089390</v>
      </c>
      <c r="K9" s="3">
        <v>1000023376</v>
      </c>
      <c r="L9" s="3">
        <v>11192166</v>
      </c>
      <c r="M9" s="3">
        <v>801147294</v>
      </c>
      <c r="N9" s="3">
        <v>901348455</v>
      </c>
      <c r="O9" s="36">
        <v>1130</v>
      </c>
      <c r="P9" s="36">
        <v>1130</v>
      </c>
      <c r="Q9" s="36">
        <f t="shared" si="0"/>
        <v>5000</v>
      </c>
      <c r="R9" s="36">
        <v>5650000</v>
      </c>
      <c r="S9" s="36">
        <v>1017000</v>
      </c>
      <c r="T9" s="36">
        <f t="shared" si="1"/>
        <v>6667000</v>
      </c>
      <c r="U9" s="1" t="s">
        <v>29</v>
      </c>
      <c r="V9" s="51" t="s">
        <v>30</v>
      </c>
      <c r="W9" s="1" t="s">
        <v>31</v>
      </c>
      <c r="X9" s="1" t="s">
        <v>30</v>
      </c>
      <c r="Y9" s="1" t="s">
        <v>34</v>
      </c>
      <c r="Z9" s="2">
        <v>46124</v>
      </c>
      <c r="AA9" s="2">
        <v>46854</v>
      </c>
      <c r="AB9" s="1" t="s">
        <v>30</v>
      </c>
    </row>
    <row r="10" spans="1:28" x14ac:dyDescent="0.35">
      <c r="A10" s="52" t="s">
        <v>104</v>
      </c>
      <c r="B10" s="52" t="s">
        <v>23</v>
      </c>
      <c r="C10" s="52" t="s">
        <v>24</v>
      </c>
      <c r="D10" s="3">
        <v>810001598</v>
      </c>
      <c r="E10" s="52" t="s">
        <v>25</v>
      </c>
      <c r="F10" s="52" t="s">
        <v>26</v>
      </c>
      <c r="G10" s="2">
        <v>46132</v>
      </c>
      <c r="H10" s="52" t="s">
        <v>27</v>
      </c>
      <c r="I10" s="1" t="s">
        <v>28</v>
      </c>
      <c r="J10" s="3">
        <v>38089390</v>
      </c>
      <c r="K10" s="3">
        <v>1000023376</v>
      </c>
      <c r="L10" s="3">
        <v>11192166</v>
      </c>
      <c r="M10" s="3">
        <v>801147294</v>
      </c>
      <c r="N10" s="3">
        <v>901348455</v>
      </c>
      <c r="O10" s="36">
        <v>1164</v>
      </c>
      <c r="P10" s="36">
        <v>1164</v>
      </c>
      <c r="Q10" s="36">
        <f t="shared" si="0"/>
        <v>5000</v>
      </c>
      <c r="R10" s="36">
        <v>5820000</v>
      </c>
      <c r="S10" s="36">
        <v>1047600</v>
      </c>
      <c r="T10" s="36">
        <f t="shared" si="1"/>
        <v>6867600</v>
      </c>
      <c r="U10" s="1" t="s">
        <v>29</v>
      </c>
      <c r="V10" s="51" t="s">
        <v>30</v>
      </c>
      <c r="W10" s="1" t="s">
        <v>31</v>
      </c>
      <c r="X10" s="1" t="s">
        <v>30</v>
      </c>
      <c r="Y10" s="1" t="s">
        <v>35</v>
      </c>
      <c r="Z10" s="2">
        <v>46126</v>
      </c>
      <c r="AA10" s="2">
        <v>46856</v>
      </c>
      <c r="AB10" s="1" t="s">
        <v>30</v>
      </c>
    </row>
    <row r="11" spans="1:28" x14ac:dyDescent="0.35">
      <c r="A11" s="52" t="s">
        <v>105</v>
      </c>
      <c r="B11" s="52" t="s">
        <v>23</v>
      </c>
      <c r="C11" s="52" t="s">
        <v>36</v>
      </c>
      <c r="D11" s="3">
        <v>810001548</v>
      </c>
      <c r="E11" s="52" t="s">
        <v>37</v>
      </c>
      <c r="F11" s="52" t="s">
        <v>38</v>
      </c>
      <c r="G11" s="2">
        <v>46134</v>
      </c>
      <c r="H11" s="52" t="s">
        <v>27</v>
      </c>
      <c r="I11" s="1" t="s">
        <v>28</v>
      </c>
      <c r="J11" s="3">
        <v>38089290</v>
      </c>
      <c r="K11" s="3">
        <v>1000023286</v>
      </c>
      <c r="L11" s="3">
        <v>60123452</v>
      </c>
      <c r="M11" s="3">
        <v>87121139</v>
      </c>
      <c r="N11" s="3">
        <v>901349237</v>
      </c>
      <c r="O11" s="36">
        <v>-1850</v>
      </c>
      <c r="P11" s="36">
        <v>-1850</v>
      </c>
      <c r="Q11" s="36">
        <f t="shared" si="0"/>
        <v>325</v>
      </c>
      <c r="R11" s="36">
        <v>-601250</v>
      </c>
      <c r="S11" s="36">
        <v>-108225</v>
      </c>
      <c r="T11" s="36">
        <f t="shared" si="1"/>
        <v>-709475</v>
      </c>
      <c r="U11" s="1" t="s">
        <v>39</v>
      </c>
      <c r="V11" s="51" t="s">
        <v>30</v>
      </c>
      <c r="W11" s="1" t="s">
        <v>40</v>
      </c>
      <c r="X11" s="1" t="s">
        <v>30</v>
      </c>
      <c r="Y11" s="1" t="s">
        <v>41</v>
      </c>
      <c r="Z11" s="2">
        <v>46057</v>
      </c>
      <c r="AA11" s="2">
        <v>46786</v>
      </c>
      <c r="AB11" s="1" t="s">
        <v>30</v>
      </c>
    </row>
    <row r="12" spans="1:28" x14ac:dyDescent="0.35">
      <c r="A12" s="52" t="s">
        <v>105</v>
      </c>
      <c r="B12" s="52" t="s">
        <v>23</v>
      </c>
      <c r="C12" s="52" t="s">
        <v>36</v>
      </c>
      <c r="D12" s="3">
        <v>810001548</v>
      </c>
      <c r="E12" s="52" t="s">
        <v>37</v>
      </c>
      <c r="F12" s="52" t="s">
        <v>38</v>
      </c>
      <c r="G12" s="2">
        <v>46134</v>
      </c>
      <c r="H12" s="52" t="s">
        <v>27</v>
      </c>
      <c r="I12" s="1" t="s">
        <v>28</v>
      </c>
      <c r="J12" s="3">
        <v>38089290</v>
      </c>
      <c r="K12" s="3">
        <v>1000023286</v>
      </c>
      <c r="L12" s="3">
        <v>60123452</v>
      </c>
      <c r="M12" s="3">
        <v>87121139</v>
      </c>
      <c r="N12" s="3">
        <v>901349237</v>
      </c>
      <c r="O12" s="36">
        <v>-1500</v>
      </c>
      <c r="P12" s="36">
        <v>-1500</v>
      </c>
      <c r="Q12" s="36">
        <f t="shared" si="0"/>
        <v>325</v>
      </c>
      <c r="R12" s="36">
        <v>-487500</v>
      </c>
      <c r="S12" s="36">
        <v>-87750</v>
      </c>
      <c r="T12" s="36">
        <f t="shared" si="1"/>
        <v>-575250</v>
      </c>
      <c r="U12" s="1" t="s">
        <v>39</v>
      </c>
      <c r="V12" s="51" t="s">
        <v>30</v>
      </c>
      <c r="W12" s="1" t="s">
        <v>40</v>
      </c>
      <c r="X12" s="1" t="s">
        <v>30</v>
      </c>
      <c r="Y12" s="1" t="s">
        <v>42</v>
      </c>
      <c r="Z12" s="2">
        <v>46069</v>
      </c>
      <c r="AA12" s="2">
        <v>46798</v>
      </c>
      <c r="AB12" s="1" t="s">
        <v>30</v>
      </c>
    </row>
    <row r="13" spans="1:28" x14ac:dyDescent="0.35">
      <c r="A13" s="52" t="s">
        <v>105</v>
      </c>
      <c r="B13" s="52" t="s">
        <v>23</v>
      </c>
      <c r="C13" s="52" t="s">
        <v>24</v>
      </c>
      <c r="D13" s="3">
        <v>810001598</v>
      </c>
      <c r="E13" s="52" t="s">
        <v>25</v>
      </c>
      <c r="F13" s="52" t="s">
        <v>43</v>
      </c>
      <c r="G13" s="2">
        <v>46136</v>
      </c>
      <c r="H13" s="52" t="s">
        <v>27</v>
      </c>
      <c r="I13" s="1" t="s">
        <v>28</v>
      </c>
      <c r="J13" s="3">
        <v>38089390</v>
      </c>
      <c r="K13" s="3">
        <v>1000023376</v>
      </c>
      <c r="L13" s="3">
        <v>11192683</v>
      </c>
      <c r="M13" s="3">
        <v>801147835</v>
      </c>
      <c r="N13" s="3">
        <v>901350858</v>
      </c>
      <c r="O13" s="36">
        <v>1110</v>
      </c>
      <c r="P13" s="36">
        <v>1110</v>
      </c>
      <c r="Q13" s="36">
        <f t="shared" si="0"/>
        <v>5000</v>
      </c>
      <c r="R13" s="36">
        <v>5550000</v>
      </c>
      <c r="S13" s="36">
        <v>999000</v>
      </c>
      <c r="T13" s="36">
        <f t="shared" si="1"/>
        <v>6549000</v>
      </c>
      <c r="U13" s="1" t="s">
        <v>29</v>
      </c>
      <c r="V13" s="51" t="s">
        <v>30</v>
      </c>
      <c r="W13" s="1" t="s">
        <v>44</v>
      </c>
      <c r="X13" s="1" t="s">
        <v>30</v>
      </c>
      <c r="Y13" s="1" t="s">
        <v>45</v>
      </c>
      <c r="Z13" s="2">
        <v>46127</v>
      </c>
      <c r="AA13" s="2">
        <v>46857</v>
      </c>
      <c r="AB13" s="1" t="s">
        <v>30</v>
      </c>
    </row>
    <row r="14" spans="1:28" x14ac:dyDescent="0.35">
      <c r="A14" s="52" t="s">
        <v>104</v>
      </c>
      <c r="B14" s="52" t="s">
        <v>23</v>
      </c>
      <c r="C14" s="52" t="s">
        <v>24</v>
      </c>
      <c r="D14" s="3">
        <v>810001598</v>
      </c>
      <c r="E14" s="52" t="s">
        <v>25</v>
      </c>
      <c r="F14" s="52" t="s">
        <v>43</v>
      </c>
      <c r="G14" s="2">
        <v>46136</v>
      </c>
      <c r="H14" s="52" t="s">
        <v>27</v>
      </c>
      <c r="I14" s="1" t="s">
        <v>28</v>
      </c>
      <c r="J14" s="3">
        <v>38089390</v>
      </c>
      <c r="K14" s="3">
        <v>1000023376</v>
      </c>
      <c r="L14" s="3">
        <v>11192683</v>
      </c>
      <c r="M14" s="3">
        <v>801147835</v>
      </c>
      <c r="N14" s="3">
        <v>901350858</v>
      </c>
      <c r="O14" s="36">
        <v>1516</v>
      </c>
      <c r="P14" s="36">
        <v>1516</v>
      </c>
      <c r="Q14" s="36">
        <f t="shared" si="0"/>
        <v>5000</v>
      </c>
      <c r="R14" s="36">
        <v>7580000</v>
      </c>
      <c r="S14" s="36">
        <v>1364400</v>
      </c>
      <c r="T14" s="36">
        <f t="shared" si="1"/>
        <v>8944400</v>
      </c>
      <c r="U14" s="1" t="s">
        <v>29</v>
      </c>
      <c r="V14" s="51" t="s">
        <v>30</v>
      </c>
      <c r="W14" s="1" t="s">
        <v>44</v>
      </c>
      <c r="X14" s="1" t="s">
        <v>30</v>
      </c>
      <c r="Y14" s="1" t="s">
        <v>46</v>
      </c>
      <c r="Z14" s="2">
        <v>46129</v>
      </c>
      <c r="AA14" s="2">
        <v>46859</v>
      </c>
      <c r="AB14" s="1" t="s">
        <v>30</v>
      </c>
    </row>
    <row r="15" spans="1:28" x14ac:dyDescent="0.35">
      <c r="A15" s="52" t="s">
        <v>104</v>
      </c>
      <c r="B15" s="52" t="s">
        <v>23</v>
      </c>
      <c r="C15" s="52" t="s">
        <v>24</v>
      </c>
      <c r="D15" s="3">
        <v>810001598</v>
      </c>
      <c r="E15" s="52" t="s">
        <v>25</v>
      </c>
      <c r="F15" s="52" t="s">
        <v>43</v>
      </c>
      <c r="G15" s="2">
        <v>46136</v>
      </c>
      <c r="H15" s="52" t="s">
        <v>27</v>
      </c>
      <c r="I15" s="1" t="s">
        <v>28</v>
      </c>
      <c r="J15" s="3">
        <v>38089390</v>
      </c>
      <c r="K15" s="3">
        <v>1000023376</v>
      </c>
      <c r="L15" s="3">
        <v>11192683</v>
      </c>
      <c r="M15" s="3">
        <v>801147835</v>
      </c>
      <c r="N15" s="3">
        <v>901350858</v>
      </c>
      <c r="O15" s="36">
        <v>1428</v>
      </c>
      <c r="P15" s="36">
        <v>1428</v>
      </c>
      <c r="Q15" s="36">
        <f t="shared" si="0"/>
        <v>5000</v>
      </c>
      <c r="R15" s="36">
        <v>7140000</v>
      </c>
      <c r="S15" s="36">
        <v>1285200</v>
      </c>
      <c r="T15" s="36">
        <f t="shared" si="1"/>
        <v>8425200</v>
      </c>
      <c r="U15" s="1" t="s">
        <v>29</v>
      </c>
      <c r="V15" s="51" t="s">
        <v>30</v>
      </c>
      <c r="W15" s="1" t="s">
        <v>44</v>
      </c>
      <c r="X15" s="1" t="s">
        <v>30</v>
      </c>
      <c r="Y15" s="1" t="s">
        <v>47</v>
      </c>
      <c r="Z15" s="2">
        <v>46130</v>
      </c>
      <c r="AA15" s="2">
        <v>46860</v>
      </c>
      <c r="AB15" s="1" t="s">
        <v>30</v>
      </c>
    </row>
    <row r="16" spans="1:28" x14ac:dyDescent="0.35">
      <c r="A16" s="52" t="s">
        <v>104</v>
      </c>
      <c r="B16" s="52" t="s">
        <v>23</v>
      </c>
      <c r="C16" s="52" t="s">
        <v>73</v>
      </c>
      <c r="D16" s="3">
        <v>810001547</v>
      </c>
      <c r="E16" s="52" t="s">
        <v>74</v>
      </c>
      <c r="F16" s="52" t="s">
        <v>84</v>
      </c>
      <c r="G16" s="2">
        <v>46142</v>
      </c>
      <c r="H16" s="52" t="s">
        <v>27</v>
      </c>
      <c r="I16" s="1" t="s">
        <v>28</v>
      </c>
      <c r="J16" s="3">
        <v>38089199</v>
      </c>
      <c r="K16" s="3">
        <v>1000023428</v>
      </c>
      <c r="L16" s="3">
        <v>60124517</v>
      </c>
      <c r="M16" s="3">
        <v>87122861</v>
      </c>
      <c r="N16" s="3">
        <v>901353067</v>
      </c>
      <c r="O16" s="36">
        <v>-1275</v>
      </c>
      <c r="P16" s="36">
        <v>-1275</v>
      </c>
      <c r="Q16" s="36">
        <f t="shared" si="0"/>
        <v>2500</v>
      </c>
      <c r="R16" s="36">
        <v>-3187500</v>
      </c>
      <c r="S16" s="36">
        <v>-573750</v>
      </c>
      <c r="T16" s="36">
        <v>-3761250</v>
      </c>
      <c r="U16" s="1" t="s">
        <v>39</v>
      </c>
      <c r="V16" s="53">
        <v>9297</v>
      </c>
      <c r="W16" s="1" t="s">
        <v>88</v>
      </c>
      <c r="X16" s="4"/>
      <c r="Y16" s="1" t="s">
        <v>89</v>
      </c>
      <c r="Z16" s="2">
        <v>45967</v>
      </c>
      <c r="AA16" s="2">
        <v>46696</v>
      </c>
      <c r="AB16" s="4"/>
    </row>
    <row r="17" spans="1:28" x14ac:dyDescent="0.35">
      <c r="A17" s="52" t="s">
        <v>105</v>
      </c>
      <c r="B17" s="52" t="s">
        <v>23</v>
      </c>
      <c r="C17" s="52" t="s">
        <v>73</v>
      </c>
      <c r="D17" s="3">
        <v>810001547</v>
      </c>
      <c r="E17" s="52" t="s">
        <v>74</v>
      </c>
      <c r="F17" s="52" t="s">
        <v>84</v>
      </c>
      <c r="G17" s="2">
        <v>46142</v>
      </c>
      <c r="H17" s="52" t="s">
        <v>27</v>
      </c>
      <c r="I17" s="1" t="s">
        <v>28</v>
      </c>
      <c r="J17" s="3">
        <v>38089199</v>
      </c>
      <c r="K17" s="3">
        <v>1000023428</v>
      </c>
      <c r="L17" s="3">
        <v>60124517</v>
      </c>
      <c r="M17" s="3">
        <v>87122861</v>
      </c>
      <c r="N17" s="3">
        <v>901353067</v>
      </c>
      <c r="O17" s="36">
        <v>-1250</v>
      </c>
      <c r="P17" s="36">
        <v>-1250</v>
      </c>
      <c r="Q17" s="36">
        <f t="shared" si="0"/>
        <v>2500</v>
      </c>
      <c r="R17" s="36">
        <v>-3125000</v>
      </c>
      <c r="S17" s="36">
        <v>-562500</v>
      </c>
      <c r="T17" s="36">
        <v>-3687500</v>
      </c>
      <c r="U17" s="1" t="s">
        <v>39</v>
      </c>
      <c r="V17" s="53">
        <v>9297</v>
      </c>
      <c r="W17" s="1" t="s">
        <v>88</v>
      </c>
      <c r="X17" s="4"/>
      <c r="Y17" s="1" t="s">
        <v>90</v>
      </c>
      <c r="Z17" s="2">
        <v>45968</v>
      </c>
      <c r="AA17" s="2">
        <v>46697</v>
      </c>
      <c r="AB17" s="4"/>
    </row>
    <row r="18" spans="1:28" x14ac:dyDescent="0.35">
      <c r="A18" s="52" t="s">
        <v>105</v>
      </c>
      <c r="B18" s="52" t="s">
        <v>23</v>
      </c>
      <c r="C18" s="52" t="s">
        <v>73</v>
      </c>
      <c r="D18" s="3">
        <v>810001547</v>
      </c>
      <c r="E18" s="52" t="s">
        <v>74</v>
      </c>
      <c r="F18" s="52" t="s">
        <v>84</v>
      </c>
      <c r="G18" s="2">
        <v>46142</v>
      </c>
      <c r="H18" s="52" t="s">
        <v>27</v>
      </c>
      <c r="I18" s="1" t="s">
        <v>28</v>
      </c>
      <c r="J18" s="3">
        <v>38089199</v>
      </c>
      <c r="K18" s="3">
        <v>1000023428</v>
      </c>
      <c r="L18" s="3">
        <v>60124517</v>
      </c>
      <c r="M18" s="3">
        <v>87122861</v>
      </c>
      <c r="N18" s="3">
        <v>901353067</v>
      </c>
      <c r="O18" s="36">
        <v>-1250</v>
      </c>
      <c r="P18" s="36">
        <v>-1250</v>
      </c>
      <c r="Q18" s="36">
        <f t="shared" si="0"/>
        <v>2500</v>
      </c>
      <c r="R18" s="36">
        <v>-3125000</v>
      </c>
      <c r="S18" s="36">
        <v>-562500</v>
      </c>
      <c r="T18" s="36">
        <v>-3687500</v>
      </c>
      <c r="U18" s="1" t="s">
        <v>39</v>
      </c>
      <c r="V18" s="53">
        <v>9297</v>
      </c>
      <c r="W18" s="1" t="s">
        <v>88</v>
      </c>
      <c r="X18" s="4"/>
      <c r="Y18" s="1" t="s">
        <v>91</v>
      </c>
      <c r="Z18" s="2">
        <v>45973</v>
      </c>
      <c r="AA18" s="2">
        <v>46702</v>
      </c>
      <c r="AB18" s="4"/>
    </row>
    <row r="19" spans="1:28" x14ac:dyDescent="0.35">
      <c r="A19" s="52" t="s">
        <v>105</v>
      </c>
      <c r="B19" s="52" t="s">
        <v>23</v>
      </c>
      <c r="C19" s="52" t="s">
        <v>73</v>
      </c>
      <c r="D19" s="3">
        <v>810001547</v>
      </c>
      <c r="E19" s="52" t="s">
        <v>74</v>
      </c>
      <c r="F19" s="52" t="s">
        <v>84</v>
      </c>
      <c r="G19" s="2">
        <v>46142</v>
      </c>
      <c r="H19" s="52" t="s">
        <v>27</v>
      </c>
      <c r="I19" s="1" t="s">
        <v>28</v>
      </c>
      <c r="J19" s="3">
        <v>38089199</v>
      </c>
      <c r="K19" s="3">
        <v>1000023428</v>
      </c>
      <c r="L19" s="3">
        <v>60124517</v>
      </c>
      <c r="M19" s="3">
        <v>87122861</v>
      </c>
      <c r="N19" s="3">
        <v>901353067</v>
      </c>
      <c r="O19" s="36">
        <v>-1250</v>
      </c>
      <c r="P19" s="36">
        <v>-1250</v>
      </c>
      <c r="Q19" s="36">
        <f t="shared" si="0"/>
        <v>2500</v>
      </c>
      <c r="R19" s="36">
        <v>-3125000</v>
      </c>
      <c r="S19" s="36">
        <v>-562500</v>
      </c>
      <c r="T19" s="36">
        <v>-3687500</v>
      </c>
      <c r="U19" s="1" t="s">
        <v>39</v>
      </c>
      <c r="V19" s="53">
        <v>9297</v>
      </c>
      <c r="W19" s="1" t="s">
        <v>88</v>
      </c>
      <c r="X19" s="4"/>
      <c r="Y19" s="1" t="s">
        <v>92</v>
      </c>
      <c r="Z19" s="2">
        <v>45974</v>
      </c>
      <c r="AA19" s="2">
        <v>46703</v>
      </c>
      <c r="AB19" s="4"/>
    </row>
    <row r="20" spans="1:28" x14ac:dyDescent="0.35">
      <c r="A20" s="52" t="s">
        <v>105</v>
      </c>
      <c r="B20" s="52" t="s">
        <v>23</v>
      </c>
      <c r="C20" s="52" t="s">
        <v>73</v>
      </c>
      <c r="D20" s="3">
        <v>810001547</v>
      </c>
      <c r="E20" s="52" t="s">
        <v>74</v>
      </c>
      <c r="F20" s="52" t="s">
        <v>85</v>
      </c>
      <c r="G20" s="2">
        <v>46142</v>
      </c>
      <c r="H20" s="52" t="s">
        <v>27</v>
      </c>
      <c r="I20" s="1" t="s">
        <v>28</v>
      </c>
      <c r="J20" s="3">
        <v>38089199</v>
      </c>
      <c r="K20" s="3">
        <v>1000023428</v>
      </c>
      <c r="L20" s="3">
        <v>60124482</v>
      </c>
      <c r="M20" s="3">
        <v>87122869</v>
      </c>
      <c r="N20" s="3">
        <v>901353071</v>
      </c>
      <c r="O20" s="36">
        <v>-1100</v>
      </c>
      <c r="P20" s="36">
        <v>-1100</v>
      </c>
      <c r="Q20" s="36">
        <f t="shared" si="0"/>
        <v>2500</v>
      </c>
      <c r="R20" s="36">
        <v>-2750000</v>
      </c>
      <c r="S20" s="36">
        <v>-495000</v>
      </c>
      <c r="T20" s="36">
        <v>-3245000</v>
      </c>
      <c r="U20" s="1" t="s">
        <v>39</v>
      </c>
      <c r="V20" s="53">
        <v>9297</v>
      </c>
      <c r="W20" s="1" t="s">
        <v>88</v>
      </c>
      <c r="X20" s="4"/>
      <c r="Y20" s="1" t="s">
        <v>93</v>
      </c>
      <c r="Z20" s="2">
        <v>45995</v>
      </c>
      <c r="AA20" s="2">
        <v>46724</v>
      </c>
      <c r="AB20" s="4"/>
    </row>
    <row r="21" spans="1:28" x14ac:dyDescent="0.35">
      <c r="A21" s="52" t="s">
        <v>105</v>
      </c>
      <c r="B21" s="52" t="s">
        <v>23</v>
      </c>
      <c r="C21" s="52" t="s">
        <v>73</v>
      </c>
      <c r="D21" s="3">
        <v>810001547</v>
      </c>
      <c r="E21" s="52" t="s">
        <v>74</v>
      </c>
      <c r="F21" s="52" t="s">
        <v>86</v>
      </c>
      <c r="G21" s="2">
        <v>46142</v>
      </c>
      <c r="H21" s="52" t="s">
        <v>27</v>
      </c>
      <c r="I21" s="1" t="s">
        <v>28</v>
      </c>
      <c r="J21" s="3">
        <v>38089199</v>
      </c>
      <c r="K21" s="3">
        <v>1000023428</v>
      </c>
      <c r="L21" s="3">
        <v>60124484</v>
      </c>
      <c r="M21" s="3">
        <v>87122871</v>
      </c>
      <c r="N21" s="3">
        <v>901353074</v>
      </c>
      <c r="O21" s="36">
        <v>-1300</v>
      </c>
      <c r="P21" s="36">
        <v>-1300</v>
      </c>
      <c r="Q21" s="36">
        <f t="shared" si="0"/>
        <v>2500</v>
      </c>
      <c r="R21" s="36">
        <v>-3250000</v>
      </c>
      <c r="S21" s="36">
        <v>-585000</v>
      </c>
      <c r="T21" s="36">
        <v>-3835000</v>
      </c>
      <c r="U21" s="1" t="s">
        <v>39</v>
      </c>
      <c r="V21" s="53">
        <v>9297</v>
      </c>
      <c r="W21" s="1" t="s">
        <v>88</v>
      </c>
      <c r="X21" s="4"/>
      <c r="Y21" s="1" t="s">
        <v>94</v>
      </c>
      <c r="Z21" s="2">
        <v>45977</v>
      </c>
      <c r="AA21" s="2">
        <v>46706</v>
      </c>
      <c r="AB21" s="4"/>
    </row>
    <row r="22" spans="1:28" x14ac:dyDescent="0.35">
      <c r="A22" s="52" t="s">
        <v>105</v>
      </c>
      <c r="B22" s="52" t="s">
        <v>23</v>
      </c>
      <c r="C22" s="52" t="s">
        <v>73</v>
      </c>
      <c r="D22" s="3">
        <v>810001547</v>
      </c>
      <c r="E22" s="52" t="s">
        <v>74</v>
      </c>
      <c r="F22" s="52" t="s">
        <v>86</v>
      </c>
      <c r="G22" s="2">
        <v>46142</v>
      </c>
      <c r="H22" s="52" t="s">
        <v>27</v>
      </c>
      <c r="I22" s="1" t="s">
        <v>28</v>
      </c>
      <c r="J22" s="3">
        <v>38089199</v>
      </c>
      <c r="K22" s="3">
        <v>1000023428</v>
      </c>
      <c r="L22" s="3">
        <v>60124484</v>
      </c>
      <c r="M22" s="3">
        <v>87122871</v>
      </c>
      <c r="N22" s="3">
        <v>901353074</v>
      </c>
      <c r="O22" s="36">
        <v>-1250</v>
      </c>
      <c r="P22" s="36">
        <v>-1250</v>
      </c>
      <c r="Q22" s="36">
        <f t="shared" si="0"/>
        <v>2500</v>
      </c>
      <c r="R22" s="36">
        <v>-3125000</v>
      </c>
      <c r="S22" s="36">
        <v>-562500</v>
      </c>
      <c r="T22" s="36">
        <v>-3687500</v>
      </c>
      <c r="U22" s="1" t="s">
        <v>39</v>
      </c>
      <c r="V22" s="53">
        <v>9297</v>
      </c>
      <c r="W22" s="1" t="s">
        <v>88</v>
      </c>
      <c r="X22" s="4"/>
      <c r="Y22" s="1" t="s">
        <v>95</v>
      </c>
      <c r="Z22" s="2">
        <v>45979</v>
      </c>
      <c r="AA22" s="2">
        <v>46708</v>
      </c>
      <c r="AB22" s="4"/>
    </row>
    <row r="23" spans="1:28" x14ac:dyDescent="0.35">
      <c r="A23" s="52" t="s">
        <v>105</v>
      </c>
      <c r="B23" s="52" t="s">
        <v>23</v>
      </c>
      <c r="C23" s="52" t="s">
        <v>73</v>
      </c>
      <c r="D23" s="3">
        <v>810001547</v>
      </c>
      <c r="E23" s="52" t="s">
        <v>74</v>
      </c>
      <c r="F23" s="52" t="s">
        <v>86</v>
      </c>
      <c r="G23" s="2">
        <v>46142</v>
      </c>
      <c r="H23" s="52" t="s">
        <v>27</v>
      </c>
      <c r="I23" s="1" t="s">
        <v>28</v>
      </c>
      <c r="J23" s="3">
        <v>38089199</v>
      </c>
      <c r="K23" s="3">
        <v>1000023428</v>
      </c>
      <c r="L23" s="3">
        <v>60124484</v>
      </c>
      <c r="M23" s="3">
        <v>87122871</v>
      </c>
      <c r="N23" s="3">
        <v>901353074</v>
      </c>
      <c r="O23" s="36">
        <v>-1300</v>
      </c>
      <c r="P23" s="36">
        <v>-1300</v>
      </c>
      <c r="Q23" s="36">
        <f t="shared" si="0"/>
        <v>2500</v>
      </c>
      <c r="R23" s="36">
        <v>-3250000</v>
      </c>
      <c r="S23" s="36">
        <v>-585000</v>
      </c>
      <c r="T23" s="36">
        <v>-3835000</v>
      </c>
      <c r="U23" s="1" t="s">
        <v>39</v>
      </c>
      <c r="V23" s="53">
        <v>9297</v>
      </c>
      <c r="W23" s="1" t="s">
        <v>88</v>
      </c>
      <c r="X23" s="4"/>
      <c r="Y23" s="1" t="s">
        <v>96</v>
      </c>
      <c r="Z23" s="2">
        <v>45980</v>
      </c>
      <c r="AA23" s="2">
        <v>46709</v>
      </c>
      <c r="AB23" s="4"/>
    </row>
    <row r="24" spans="1:28" x14ac:dyDescent="0.35">
      <c r="A24" s="52" t="s">
        <v>105</v>
      </c>
      <c r="B24" s="52" t="s">
        <v>23</v>
      </c>
      <c r="C24" s="52" t="s">
        <v>73</v>
      </c>
      <c r="D24" s="3">
        <v>810001547</v>
      </c>
      <c r="E24" s="52" t="s">
        <v>74</v>
      </c>
      <c r="F24" s="52" t="s">
        <v>86</v>
      </c>
      <c r="G24" s="2">
        <v>46142</v>
      </c>
      <c r="H24" s="52" t="s">
        <v>27</v>
      </c>
      <c r="I24" s="1" t="s">
        <v>28</v>
      </c>
      <c r="J24" s="3">
        <v>38089199</v>
      </c>
      <c r="K24" s="3">
        <v>1000023428</v>
      </c>
      <c r="L24" s="3">
        <v>60124484</v>
      </c>
      <c r="M24" s="3">
        <v>87122871</v>
      </c>
      <c r="N24" s="3">
        <v>901353074</v>
      </c>
      <c r="O24" s="36">
        <v>-1300</v>
      </c>
      <c r="P24" s="36">
        <v>-1300</v>
      </c>
      <c r="Q24" s="36">
        <f t="shared" si="0"/>
        <v>2500</v>
      </c>
      <c r="R24" s="36">
        <v>-3250000</v>
      </c>
      <c r="S24" s="36">
        <v>-585000</v>
      </c>
      <c r="T24" s="36">
        <v>-3835000</v>
      </c>
      <c r="U24" s="1" t="s">
        <v>39</v>
      </c>
      <c r="V24" s="53">
        <v>9297</v>
      </c>
      <c r="W24" s="1" t="s">
        <v>88</v>
      </c>
      <c r="X24" s="4"/>
      <c r="Y24" s="1" t="s">
        <v>97</v>
      </c>
      <c r="Z24" s="2">
        <v>45981</v>
      </c>
      <c r="AA24" s="2">
        <v>46710</v>
      </c>
      <c r="AB24" s="4"/>
    </row>
    <row r="25" spans="1:28" x14ac:dyDescent="0.35">
      <c r="A25" s="52" t="s">
        <v>105</v>
      </c>
      <c r="B25" s="52" t="s">
        <v>23</v>
      </c>
      <c r="C25" s="52" t="s">
        <v>73</v>
      </c>
      <c r="D25" s="3">
        <v>810001547</v>
      </c>
      <c r="E25" s="52" t="s">
        <v>74</v>
      </c>
      <c r="F25" s="52" t="s">
        <v>86</v>
      </c>
      <c r="G25" s="2">
        <v>46142</v>
      </c>
      <c r="H25" s="52" t="s">
        <v>27</v>
      </c>
      <c r="I25" s="1" t="s">
        <v>28</v>
      </c>
      <c r="J25" s="3">
        <v>38089199</v>
      </c>
      <c r="K25" s="3">
        <v>1000023428</v>
      </c>
      <c r="L25" s="3">
        <v>60124484</v>
      </c>
      <c r="M25" s="3">
        <v>87122871</v>
      </c>
      <c r="N25" s="3">
        <v>901353074</v>
      </c>
      <c r="O25" s="36">
        <v>-1300</v>
      </c>
      <c r="P25" s="36">
        <v>-1300</v>
      </c>
      <c r="Q25" s="36">
        <f t="shared" si="0"/>
        <v>2500</v>
      </c>
      <c r="R25" s="36">
        <v>-3250000</v>
      </c>
      <c r="S25" s="36">
        <v>-585000</v>
      </c>
      <c r="T25" s="36">
        <v>-3835000</v>
      </c>
      <c r="U25" s="1" t="s">
        <v>39</v>
      </c>
      <c r="V25" s="53">
        <v>9297</v>
      </c>
      <c r="W25" s="1" t="s">
        <v>88</v>
      </c>
      <c r="X25" s="4"/>
      <c r="Y25" s="1" t="s">
        <v>98</v>
      </c>
      <c r="Z25" s="2">
        <v>45982</v>
      </c>
      <c r="AA25" s="2">
        <v>46711</v>
      </c>
      <c r="AB25" s="4"/>
    </row>
    <row r="26" spans="1:28" x14ac:dyDescent="0.35">
      <c r="A26" s="52" t="s">
        <v>105</v>
      </c>
      <c r="B26" s="52" t="s">
        <v>23</v>
      </c>
      <c r="C26" s="52" t="s">
        <v>64</v>
      </c>
      <c r="D26" s="3">
        <v>810001248</v>
      </c>
      <c r="E26" s="52" t="s">
        <v>54</v>
      </c>
      <c r="F26" s="52" t="s">
        <v>87</v>
      </c>
      <c r="G26" s="2">
        <v>46142</v>
      </c>
      <c r="H26" s="52" t="s">
        <v>27</v>
      </c>
      <c r="I26" s="1" t="s">
        <v>28</v>
      </c>
      <c r="J26" s="3">
        <v>38089390</v>
      </c>
      <c r="K26" s="3">
        <v>1000023336</v>
      </c>
      <c r="L26" s="3">
        <v>11193655</v>
      </c>
      <c r="M26" s="3">
        <v>801148822</v>
      </c>
      <c r="N26" s="3">
        <v>901353110</v>
      </c>
      <c r="O26" s="36">
        <v>1100</v>
      </c>
      <c r="P26" s="36">
        <v>1100</v>
      </c>
      <c r="Q26" s="36">
        <f t="shared" si="0"/>
        <v>3600</v>
      </c>
      <c r="R26" s="36">
        <v>3960000</v>
      </c>
      <c r="S26" s="36">
        <v>712800</v>
      </c>
      <c r="T26" s="36">
        <v>4672800</v>
      </c>
      <c r="U26" s="1" t="s">
        <v>39</v>
      </c>
      <c r="V26" s="51" t="s">
        <v>30</v>
      </c>
      <c r="W26" s="1" t="s">
        <v>31</v>
      </c>
      <c r="X26" s="4"/>
      <c r="Y26" s="1" t="s">
        <v>99</v>
      </c>
      <c r="Z26" s="2">
        <v>46120</v>
      </c>
      <c r="AA26" s="2">
        <v>46850</v>
      </c>
      <c r="AB26" s="4"/>
    </row>
    <row r="27" spans="1:28" x14ac:dyDescent="0.35">
      <c r="A27" s="52" t="s">
        <v>104</v>
      </c>
      <c r="B27" s="52" t="s">
        <v>23</v>
      </c>
      <c r="C27" s="52" t="s">
        <v>64</v>
      </c>
      <c r="D27" s="3">
        <v>810001248</v>
      </c>
      <c r="E27" s="52" t="s">
        <v>54</v>
      </c>
      <c r="F27" s="52" t="s">
        <v>87</v>
      </c>
      <c r="G27" s="2">
        <v>46142</v>
      </c>
      <c r="H27" s="52" t="s">
        <v>27</v>
      </c>
      <c r="I27" s="1" t="s">
        <v>28</v>
      </c>
      <c r="J27" s="3">
        <v>38089390</v>
      </c>
      <c r="K27" s="3">
        <v>1000023336</v>
      </c>
      <c r="L27" s="3">
        <v>11193655</v>
      </c>
      <c r="M27" s="3">
        <v>801148822</v>
      </c>
      <c r="N27" s="3">
        <v>901353110</v>
      </c>
      <c r="O27" s="36">
        <v>1100</v>
      </c>
      <c r="P27" s="36">
        <v>1100</v>
      </c>
      <c r="Q27" s="36">
        <f t="shared" si="0"/>
        <v>3600</v>
      </c>
      <c r="R27" s="36">
        <v>3960000</v>
      </c>
      <c r="S27" s="36">
        <v>712800</v>
      </c>
      <c r="T27" s="36">
        <v>4672800</v>
      </c>
      <c r="U27" s="1" t="s">
        <v>39</v>
      </c>
      <c r="V27" s="51" t="s">
        <v>30</v>
      </c>
      <c r="W27" s="1" t="s">
        <v>31</v>
      </c>
      <c r="X27" s="4"/>
      <c r="Y27" s="1" t="s">
        <v>100</v>
      </c>
      <c r="Z27" s="2">
        <v>46120</v>
      </c>
      <c r="AA27" s="2">
        <v>46850</v>
      </c>
      <c r="AB27" s="4"/>
    </row>
    <row r="28" spans="1:28" x14ac:dyDescent="0.35">
      <c r="A28" s="52" t="s">
        <v>104</v>
      </c>
      <c r="B28" s="52" t="s">
        <v>23</v>
      </c>
      <c r="C28" s="52" t="s">
        <v>64</v>
      </c>
      <c r="D28" s="3">
        <v>810001248</v>
      </c>
      <c r="E28" s="52" t="s">
        <v>54</v>
      </c>
      <c r="F28" s="52" t="s">
        <v>87</v>
      </c>
      <c r="G28" s="2">
        <v>46142</v>
      </c>
      <c r="H28" s="52" t="s">
        <v>27</v>
      </c>
      <c r="I28" s="1" t="s">
        <v>28</v>
      </c>
      <c r="J28" s="3">
        <v>38089390</v>
      </c>
      <c r="K28" s="3">
        <v>1000023336</v>
      </c>
      <c r="L28" s="3">
        <v>11193655</v>
      </c>
      <c r="M28" s="3">
        <v>801148822</v>
      </c>
      <c r="N28" s="3">
        <v>901353110</v>
      </c>
      <c r="O28" s="36">
        <v>1100</v>
      </c>
      <c r="P28" s="36">
        <v>1100</v>
      </c>
      <c r="Q28" s="36">
        <f t="shared" si="0"/>
        <v>3600</v>
      </c>
      <c r="R28" s="36">
        <v>3960000</v>
      </c>
      <c r="S28" s="36">
        <v>712800</v>
      </c>
      <c r="T28" s="36">
        <v>4672800</v>
      </c>
      <c r="U28" s="1" t="s">
        <v>39</v>
      </c>
      <c r="V28" s="51" t="s">
        <v>30</v>
      </c>
      <c r="W28" s="1" t="s">
        <v>31</v>
      </c>
      <c r="X28" s="4"/>
      <c r="Y28" s="1" t="s">
        <v>101</v>
      </c>
      <c r="Z28" s="2">
        <v>46125</v>
      </c>
      <c r="AA28" s="2">
        <v>46855</v>
      </c>
      <c r="AB28" s="4"/>
    </row>
    <row r="29" spans="1:28" x14ac:dyDescent="0.35">
      <c r="A29" s="52" t="s">
        <v>104</v>
      </c>
      <c r="B29" s="52" t="s">
        <v>23</v>
      </c>
      <c r="C29" s="52" t="s">
        <v>64</v>
      </c>
      <c r="D29" s="3">
        <v>810001248</v>
      </c>
      <c r="E29" s="52" t="s">
        <v>54</v>
      </c>
      <c r="F29" s="52" t="s">
        <v>87</v>
      </c>
      <c r="G29" s="2">
        <v>46142</v>
      </c>
      <c r="H29" s="52" t="s">
        <v>27</v>
      </c>
      <c r="I29" s="1" t="s">
        <v>28</v>
      </c>
      <c r="J29" s="3">
        <v>38089390</v>
      </c>
      <c r="K29" s="3">
        <v>1000023336</v>
      </c>
      <c r="L29" s="3">
        <v>11193655</v>
      </c>
      <c r="M29" s="3">
        <v>801148822</v>
      </c>
      <c r="N29" s="3">
        <v>901353110</v>
      </c>
      <c r="O29" s="36">
        <v>1025</v>
      </c>
      <c r="P29" s="36">
        <v>1025</v>
      </c>
      <c r="Q29" s="36">
        <f t="shared" si="0"/>
        <v>3600</v>
      </c>
      <c r="R29" s="36">
        <v>3690000</v>
      </c>
      <c r="S29" s="36">
        <v>664200</v>
      </c>
      <c r="T29" s="36">
        <v>4354200</v>
      </c>
      <c r="U29" s="1" t="s">
        <v>39</v>
      </c>
      <c r="V29" s="51" t="s">
        <v>30</v>
      </c>
      <c r="W29" s="1" t="s">
        <v>31</v>
      </c>
      <c r="X29" s="4"/>
      <c r="Y29" s="1" t="s">
        <v>102</v>
      </c>
      <c r="Z29" s="2">
        <v>46132</v>
      </c>
      <c r="AA29" s="2">
        <v>46862</v>
      </c>
      <c r="AB29" s="4"/>
    </row>
    <row r="30" spans="1:28" x14ac:dyDescent="0.35">
      <c r="A30" s="52" t="s">
        <v>105</v>
      </c>
      <c r="B30" s="52" t="s">
        <v>107</v>
      </c>
      <c r="C30" s="83" t="s">
        <v>24</v>
      </c>
      <c r="D30" s="3">
        <v>810001388</v>
      </c>
      <c r="E30" s="52" t="s">
        <v>59</v>
      </c>
      <c r="F30" s="52" t="s">
        <v>108</v>
      </c>
      <c r="G30" s="2">
        <v>46153</v>
      </c>
      <c r="H30" s="52" t="s">
        <v>27</v>
      </c>
      <c r="I30" s="1" t="s">
        <v>28</v>
      </c>
      <c r="J30" s="3">
        <v>38089350</v>
      </c>
      <c r="K30" s="3">
        <v>1000023466</v>
      </c>
      <c r="L30" s="3">
        <v>60126800</v>
      </c>
      <c r="M30" s="3">
        <v>87125148</v>
      </c>
      <c r="N30" s="3">
        <v>901357646</v>
      </c>
      <c r="O30" s="36">
        <v>-825</v>
      </c>
      <c r="P30" s="36">
        <v>-825</v>
      </c>
      <c r="Q30" s="37">
        <f t="shared" ref="Q30:Q33" si="2">R30/P30</f>
        <v>2200</v>
      </c>
      <c r="R30" s="36">
        <v>-1815000</v>
      </c>
      <c r="S30" s="36">
        <v>-326700</v>
      </c>
      <c r="T30" s="36">
        <v>-2141700</v>
      </c>
      <c r="U30" s="1" t="s">
        <v>39</v>
      </c>
      <c r="V30" s="53">
        <v>9332</v>
      </c>
      <c r="W30" s="1" t="s">
        <v>110</v>
      </c>
      <c r="X30" s="4"/>
      <c r="Y30" s="1" t="s">
        <v>112</v>
      </c>
      <c r="Z30" s="2">
        <v>45830</v>
      </c>
      <c r="AA30" s="2">
        <v>46559</v>
      </c>
      <c r="AB30" s="4"/>
    </row>
    <row r="31" spans="1:28" x14ac:dyDescent="0.35">
      <c r="A31" s="52" t="s">
        <v>105</v>
      </c>
      <c r="B31" s="52" t="s">
        <v>107</v>
      </c>
      <c r="C31" s="83" t="s">
        <v>24</v>
      </c>
      <c r="D31" s="3">
        <v>810001388</v>
      </c>
      <c r="E31" s="52" t="s">
        <v>59</v>
      </c>
      <c r="F31" s="52" t="s">
        <v>108</v>
      </c>
      <c r="G31" s="2">
        <v>46153</v>
      </c>
      <c r="H31" s="52" t="s">
        <v>27</v>
      </c>
      <c r="I31" s="1" t="s">
        <v>28</v>
      </c>
      <c r="J31" s="3">
        <v>38089350</v>
      </c>
      <c r="K31" s="3">
        <v>1000023466</v>
      </c>
      <c r="L31" s="3">
        <v>60126800</v>
      </c>
      <c r="M31" s="3">
        <v>87125148</v>
      </c>
      <c r="N31" s="3">
        <v>901357646</v>
      </c>
      <c r="O31" s="36">
        <v>-1800</v>
      </c>
      <c r="P31" s="36">
        <v>-1800</v>
      </c>
      <c r="Q31" s="37">
        <f t="shared" si="2"/>
        <v>2200</v>
      </c>
      <c r="R31" s="36">
        <v>-3960000</v>
      </c>
      <c r="S31" s="36">
        <v>-712800</v>
      </c>
      <c r="T31" s="36">
        <v>-4672800</v>
      </c>
      <c r="U31" s="1" t="s">
        <v>39</v>
      </c>
      <c r="V31" s="53">
        <v>9332</v>
      </c>
      <c r="W31" s="1" t="s">
        <v>110</v>
      </c>
      <c r="X31" s="4"/>
      <c r="Y31" s="1" t="s">
        <v>113</v>
      </c>
      <c r="Z31" s="2">
        <v>45830</v>
      </c>
      <c r="AA31" s="2">
        <v>46559</v>
      </c>
      <c r="AB31" s="4"/>
    </row>
    <row r="32" spans="1:28" x14ac:dyDescent="0.35">
      <c r="A32" s="52" t="s">
        <v>105</v>
      </c>
      <c r="B32" s="52" t="s">
        <v>107</v>
      </c>
      <c r="C32" s="83" t="s">
        <v>24</v>
      </c>
      <c r="D32" s="3">
        <v>810001388</v>
      </c>
      <c r="E32" s="52" t="s">
        <v>59</v>
      </c>
      <c r="F32" s="52" t="s">
        <v>109</v>
      </c>
      <c r="G32" s="2">
        <v>46154</v>
      </c>
      <c r="H32" s="52" t="s">
        <v>27</v>
      </c>
      <c r="I32" s="1" t="s">
        <v>28</v>
      </c>
      <c r="J32" s="3">
        <v>38089350</v>
      </c>
      <c r="K32" s="3">
        <v>1000023466</v>
      </c>
      <c r="L32" s="3">
        <v>60127005</v>
      </c>
      <c r="M32" s="3">
        <v>87125315</v>
      </c>
      <c r="N32" s="3">
        <v>901357660</v>
      </c>
      <c r="O32" s="36">
        <v>-700</v>
      </c>
      <c r="P32" s="36">
        <v>-700</v>
      </c>
      <c r="Q32" s="37">
        <f t="shared" si="2"/>
        <v>2200</v>
      </c>
      <c r="R32" s="36">
        <v>-1540000</v>
      </c>
      <c r="S32" s="36">
        <v>-277200</v>
      </c>
      <c r="T32" s="36">
        <v>-1817200</v>
      </c>
      <c r="U32" s="1" t="s">
        <v>29</v>
      </c>
      <c r="V32" s="53">
        <v>9332</v>
      </c>
      <c r="W32" s="1" t="s">
        <v>111</v>
      </c>
      <c r="X32" s="4"/>
      <c r="Y32" s="1" t="s">
        <v>114</v>
      </c>
      <c r="Z32" s="2">
        <v>45814</v>
      </c>
      <c r="AA32" s="2">
        <v>46543</v>
      </c>
      <c r="AB32" s="4"/>
    </row>
    <row r="33" spans="1:28" x14ac:dyDescent="0.35">
      <c r="A33" s="52" t="s">
        <v>105</v>
      </c>
      <c r="B33" s="52" t="s">
        <v>107</v>
      </c>
      <c r="C33" s="83" t="s">
        <v>24</v>
      </c>
      <c r="D33" s="3">
        <v>810001388</v>
      </c>
      <c r="E33" s="52" t="s">
        <v>59</v>
      </c>
      <c r="F33" s="52" t="s">
        <v>109</v>
      </c>
      <c r="G33" s="2">
        <v>46154</v>
      </c>
      <c r="H33" s="52" t="s">
        <v>27</v>
      </c>
      <c r="I33" s="1" t="s">
        <v>28</v>
      </c>
      <c r="J33" s="3">
        <v>38089350</v>
      </c>
      <c r="K33" s="3">
        <v>1000023466</v>
      </c>
      <c r="L33" s="3">
        <v>60127005</v>
      </c>
      <c r="M33" s="3">
        <v>87125315</v>
      </c>
      <c r="N33" s="3">
        <v>901357660</v>
      </c>
      <c r="O33" s="36">
        <v>-250</v>
      </c>
      <c r="P33" s="36">
        <v>-250</v>
      </c>
      <c r="Q33" s="37">
        <f t="shared" si="2"/>
        <v>2200</v>
      </c>
      <c r="R33" s="36">
        <v>-550000</v>
      </c>
      <c r="S33" s="36">
        <v>-99000</v>
      </c>
      <c r="T33" s="36">
        <v>-649000</v>
      </c>
      <c r="U33" s="1" t="s">
        <v>29</v>
      </c>
      <c r="V33" s="53">
        <v>9332</v>
      </c>
      <c r="W33" s="1" t="s">
        <v>111</v>
      </c>
      <c r="X33" s="4"/>
      <c r="Y33" s="1" t="s">
        <v>115</v>
      </c>
      <c r="Z33" s="2">
        <v>45824</v>
      </c>
      <c r="AA33" s="2">
        <v>46553</v>
      </c>
      <c r="AB33" s="4"/>
    </row>
    <row r="34" spans="1:28" x14ac:dyDescent="0.35">
      <c r="A34" s="52" t="s">
        <v>105</v>
      </c>
      <c r="B34" s="52" t="s">
        <v>107</v>
      </c>
      <c r="C34" s="52" t="s">
        <v>36</v>
      </c>
      <c r="D34" s="3">
        <v>810001548</v>
      </c>
      <c r="E34" s="52" t="s">
        <v>37</v>
      </c>
      <c r="F34" s="52" t="s">
        <v>116</v>
      </c>
      <c r="G34" s="2">
        <v>46158</v>
      </c>
      <c r="H34" s="52" t="s">
        <v>27</v>
      </c>
      <c r="I34" s="1" t="s">
        <v>28</v>
      </c>
      <c r="J34" s="3">
        <v>38089290</v>
      </c>
      <c r="K34" s="3">
        <v>1000023484</v>
      </c>
      <c r="L34" s="3">
        <v>60128989</v>
      </c>
      <c r="M34" s="3">
        <v>87127080</v>
      </c>
      <c r="N34" s="3">
        <v>901360547</v>
      </c>
      <c r="O34" s="36">
        <v>-1900</v>
      </c>
      <c r="P34" s="36">
        <v>-1900</v>
      </c>
      <c r="Q34" s="37">
        <f>R34/P34</f>
        <v>325</v>
      </c>
      <c r="R34" s="36">
        <v>-617500</v>
      </c>
      <c r="S34" s="36">
        <v>-111150</v>
      </c>
      <c r="T34" s="36">
        <v>-728650</v>
      </c>
      <c r="U34" s="1" t="s">
        <v>39</v>
      </c>
      <c r="V34" s="53">
        <v>9345</v>
      </c>
      <c r="W34" s="1" t="s">
        <v>117</v>
      </c>
      <c r="X34" s="4"/>
      <c r="Y34" s="1" t="s">
        <v>118</v>
      </c>
      <c r="Z34" s="2">
        <v>46104</v>
      </c>
      <c r="AA34" s="2">
        <v>46834</v>
      </c>
      <c r="AB34" s="4"/>
    </row>
    <row r="35" spans="1:28" x14ac:dyDescent="0.35">
      <c r="A35" s="52" t="s">
        <v>105</v>
      </c>
      <c r="B35" s="52" t="s">
        <v>107</v>
      </c>
      <c r="C35" s="52" t="s">
        <v>36</v>
      </c>
      <c r="D35" s="3">
        <v>810001548</v>
      </c>
      <c r="E35" s="52" t="s">
        <v>37</v>
      </c>
      <c r="F35" s="52" t="s">
        <v>116</v>
      </c>
      <c r="G35" s="2">
        <v>46158</v>
      </c>
      <c r="H35" s="52" t="s">
        <v>27</v>
      </c>
      <c r="I35" s="1" t="s">
        <v>28</v>
      </c>
      <c r="J35" s="3">
        <v>38089290</v>
      </c>
      <c r="K35" s="3">
        <v>1000023484</v>
      </c>
      <c r="L35" s="3">
        <v>60128989</v>
      </c>
      <c r="M35" s="3">
        <v>87127080</v>
      </c>
      <c r="N35" s="3">
        <v>901360547</v>
      </c>
      <c r="O35" s="36">
        <v>-1900</v>
      </c>
      <c r="P35" s="36">
        <v>-1900</v>
      </c>
      <c r="Q35" s="37">
        <f>R35/P35</f>
        <v>325</v>
      </c>
      <c r="R35" s="36">
        <v>-617500</v>
      </c>
      <c r="S35" s="36">
        <v>-111150</v>
      </c>
      <c r="T35" s="36">
        <v>-728650</v>
      </c>
      <c r="U35" s="1" t="s">
        <v>39</v>
      </c>
      <c r="V35" s="53">
        <v>9345</v>
      </c>
      <c r="W35" s="1" t="s">
        <v>117</v>
      </c>
      <c r="X35" s="4"/>
      <c r="Y35" s="1" t="s">
        <v>119</v>
      </c>
      <c r="Z35" s="2">
        <v>46105</v>
      </c>
      <c r="AA35" s="2">
        <v>46835</v>
      </c>
      <c r="AB35" s="4"/>
    </row>
    <row r="36" spans="1:28" x14ac:dyDescent="0.35">
      <c r="A36" s="52" t="s">
        <v>104</v>
      </c>
      <c r="B36" s="52" t="s">
        <v>107</v>
      </c>
      <c r="C36" s="52" t="s">
        <v>24</v>
      </c>
      <c r="D36" s="53">
        <v>810001598</v>
      </c>
      <c r="E36" s="52" t="s">
        <v>25</v>
      </c>
      <c r="F36" s="52" t="s">
        <v>120</v>
      </c>
      <c r="G36" s="2">
        <v>46163</v>
      </c>
      <c r="H36" s="52" t="s">
        <v>27</v>
      </c>
      <c r="I36" s="48" t="s">
        <v>28</v>
      </c>
      <c r="J36" s="53">
        <v>38089390</v>
      </c>
      <c r="K36" s="53">
        <v>1000023376</v>
      </c>
      <c r="L36" s="53">
        <v>11196650</v>
      </c>
      <c r="M36" s="53">
        <v>801151798</v>
      </c>
      <c r="N36" s="53">
        <v>901364976</v>
      </c>
      <c r="O36" s="36">
        <v>1600</v>
      </c>
      <c r="P36" s="36">
        <v>1600</v>
      </c>
      <c r="Q36" s="49">
        <f>R36/P36</f>
        <v>5000</v>
      </c>
      <c r="R36" s="36">
        <v>8000000</v>
      </c>
      <c r="S36" s="36">
        <v>1440000</v>
      </c>
      <c r="T36" s="36">
        <v>9440000</v>
      </c>
      <c r="U36" s="52" t="s">
        <v>39</v>
      </c>
      <c r="V36" s="51" t="s">
        <v>30</v>
      </c>
      <c r="W36" s="52" t="s">
        <v>31</v>
      </c>
      <c r="X36" s="48" t="s">
        <v>30</v>
      </c>
      <c r="Y36" s="48" t="s">
        <v>122</v>
      </c>
      <c r="Z36" s="2">
        <v>46132</v>
      </c>
      <c r="AA36" s="2">
        <v>46862</v>
      </c>
      <c r="AB36" s="50"/>
    </row>
    <row r="37" spans="1:28" x14ac:dyDescent="0.35">
      <c r="A37" s="52" t="s">
        <v>104</v>
      </c>
      <c r="B37" s="52" t="s">
        <v>107</v>
      </c>
      <c r="C37" s="52" t="s">
        <v>24</v>
      </c>
      <c r="D37" s="53">
        <v>810001598</v>
      </c>
      <c r="E37" s="52" t="s">
        <v>25</v>
      </c>
      <c r="F37" s="52" t="s">
        <v>120</v>
      </c>
      <c r="G37" s="2">
        <v>46163</v>
      </c>
      <c r="H37" s="52" t="s">
        <v>27</v>
      </c>
      <c r="I37" s="48" t="s">
        <v>28</v>
      </c>
      <c r="J37" s="53">
        <v>38089390</v>
      </c>
      <c r="K37" s="53">
        <v>1000023376</v>
      </c>
      <c r="L37" s="53">
        <v>11196650</v>
      </c>
      <c r="M37" s="53">
        <v>801151798</v>
      </c>
      <c r="N37" s="53">
        <v>901364976</v>
      </c>
      <c r="O37" s="36">
        <v>1600</v>
      </c>
      <c r="P37" s="36">
        <v>1600</v>
      </c>
      <c r="Q37" s="49">
        <f t="shared" ref="Q37:Q40" si="3">R37/P37</f>
        <v>5000</v>
      </c>
      <c r="R37" s="36">
        <v>8000000</v>
      </c>
      <c r="S37" s="36">
        <v>1440000</v>
      </c>
      <c r="T37" s="36">
        <v>9440000</v>
      </c>
      <c r="U37" s="52" t="s">
        <v>39</v>
      </c>
      <c r="V37" s="51" t="s">
        <v>30</v>
      </c>
      <c r="W37" s="52" t="s">
        <v>31</v>
      </c>
      <c r="X37" s="48" t="s">
        <v>30</v>
      </c>
      <c r="Y37" s="48" t="s">
        <v>123</v>
      </c>
      <c r="Z37" s="2">
        <v>46133</v>
      </c>
      <c r="AA37" s="2">
        <v>46863</v>
      </c>
      <c r="AB37" s="50"/>
    </row>
    <row r="38" spans="1:28" x14ac:dyDescent="0.35">
      <c r="A38" s="52" t="s">
        <v>104</v>
      </c>
      <c r="B38" s="52" t="s">
        <v>107</v>
      </c>
      <c r="C38" s="52" t="s">
        <v>24</v>
      </c>
      <c r="D38" s="53">
        <v>810001598</v>
      </c>
      <c r="E38" s="52" t="s">
        <v>25</v>
      </c>
      <c r="F38" s="52" t="s">
        <v>120</v>
      </c>
      <c r="G38" s="2">
        <v>46163</v>
      </c>
      <c r="H38" s="52" t="s">
        <v>27</v>
      </c>
      <c r="I38" s="48" t="s">
        <v>28</v>
      </c>
      <c r="J38" s="53">
        <v>38089390</v>
      </c>
      <c r="K38" s="53">
        <v>1000023376</v>
      </c>
      <c r="L38" s="53">
        <v>11196650</v>
      </c>
      <c r="M38" s="53">
        <v>801151798</v>
      </c>
      <c r="N38" s="53">
        <v>901364976</v>
      </c>
      <c r="O38" s="36">
        <v>1600</v>
      </c>
      <c r="P38" s="36">
        <v>1600</v>
      </c>
      <c r="Q38" s="49">
        <f t="shared" si="3"/>
        <v>5000</v>
      </c>
      <c r="R38" s="36">
        <v>8000000</v>
      </c>
      <c r="S38" s="36">
        <v>1440000</v>
      </c>
      <c r="T38" s="36">
        <v>9440000</v>
      </c>
      <c r="U38" s="52" t="s">
        <v>39</v>
      </c>
      <c r="V38" s="51" t="s">
        <v>30</v>
      </c>
      <c r="W38" s="52" t="s">
        <v>31</v>
      </c>
      <c r="X38" s="48" t="s">
        <v>30</v>
      </c>
      <c r="Y38" s="48" t="s">
        <v>124</v>
      </c>
      <c r="Z38" s="2">
        <v>46135</v>
      </c>
      <c r="AA38" s="2">
        <v>46865</v>
      </c>
      <c r="AB38" s="50"/>
    </row>
    <row r="39" spans="1:28" x14ac:dyDescent="0.35">
      <c r="A39" s="52" t="s">
        <v>104</v>
      </c>
      <c r="B39" s="52" t="s">
        <v>107</v>
      </c>
      <c r="C39" s="52" t="s">
        <v>64</v>
      </c>
      <c r="D39" s="53">
        <v>810001248</v>
      </c>
      <c r="E39" s="52" t="s">
        <v>54</v>
      </c>
      <c r="F39" s="52" t="s">
        <v>121</v>
      </c>
      <c r="G39" s="2">
        <v>46163</v>
      </c>
      <c r="H39" s="52" t="s">
        <v>27</v>
      </c>
      <c r="I39" s="48" t="s">
        <v>28</v>
      </c>
      <c r="J39" s="53">
        <v>38089390</v>
      </c>
      <c r="K39" s="53">
        <v>1000023336</v>
      </c>
      <c r="L39" s="53">
        <v>11196820</v>
      </c>
      <c r="M39" s="53">
        <v>801151984</v>
      </c>
      <c r="N39" s="53">
        <v>901365278</v>
      </c>
      <c r="O39" s="36">
        <v>1025</v>
      </c>
      <c r="P39" s="36">
        <v>1025</v>
      </c>
      <c r="Q39" s="49">
        <f t="shared" si="3"/>
        <v>3600</v>
      </c>
      <c r="R39" s="36">
        <v>3690000</v>
      </c>
      <c r="S39" s="36">
        <v>664200</v>
      </c>
      <c r="T39" s="36">
        <v>4354200</v>
      </c>
      <c r="U39" s="52" t="s">
        <v>39</v>
      </c>
      <c r="V39" s="53">
        <v>9362</v>
      </c>
      <c r="W39" s="52" t="s">
        <v>125</v>
      </c>
      <c r="X39" s="48" t="s">
        <v>30</v>
      </c>
      <c r="Y39" s="48" t="s">
        <v>126</v>
      </c>
      <c r="Z39" s="2">
        <v>46132</v>
      </c>
      <c r="AA39" s="2">
        <v>46862</v>
      </c>
      <c r="AB39" s="50"/>
    </row>
    <row r="40" spans="1:28" x14ac:dyDescent="0.35">
      <c r="A40" s="52" t="s">
        <v>104</v>
      </c>
      <c r="B40" s="52" t="s">
        <v>107</v>
      </c>
      <c r="C40" s="52" t="s">
        <v>64</v>
      </c>
      <c r="D40" s="53">
        <v>810001248</v>
      </c>
      <c r="E40" s="52" t="s">
        <v>54</v>
      </c>
      <c r="F40" s="52" t="s">
        <v>121</v>
      </c>
      <c r="G40" s="2">
        <v>46163</v>
      </c>
      <c r="H40" s="52" t="s">
        <v>27</v>
      </c>
      <c r="I40" s="48" t="s">
        <v>28</v>
      </c>
      <c r="J40" s="53">
        <v>38089390</v>
      </c>
      <c r="K40" s="53">
        <v>1000023336</v>
      </c>
      <c r="L40" s="53">
        <v>11196820</v>
      </c>
      <c r="M40" s="53">
        <v>801151984</v>
      </c>
      <c r="N40" s="53">
        <v>901365278</v>
      </c>
      <c r="O40" s="36">
        <v>1075</v>
      </c>
      <c r="P40" s="36">
        <v>1075</v>
      </c>
      <c r="Q40" s="49">
        <f t="shared" si="3"/>
        <v>3600</v>
      </c>
      <c r="R40" s="36">
        <v>3870000</v>
      </c>
      <c r="S40" s="36">
        <v>696600</v>
      </c>
      <c r="T40" s="36">
        <v>4566600</v>
      </c>
      <c r="U40" s="52" t="s">
        <v>39</v>
      </c>
      <c r="V40" s="53">
        <v>9362</v>
      </c>
      <c r="W40" s="52" t="s">
        <v>125</v>
      </c>
      <c r="X40" s="48" t="s">
        <v>30</v>
      </c>
      <c r="Y40" s="48" t="s">
        <v>127</v>
      </c>
      <c r="Z40" s="2">
        <v>46132</v>
      </c>
      <c r="AA40" s="2">
        <v>46862</v>
      </c>
      <c r="AB40" s="50"/>
    </row>
    <row r="41" spans="1:28" x14ac:dyDescent="0.35">
      <c r="A41" s="52" t="s">
        <v>104</v>
      </c>
      <c r="B41" s="52" t="s">
        <v>107</v>
      </c>
      <c r="C41" s="52" t="s">
        <v>24</v>
      </c>
      <c r="D41" s="3">
        <v>810001598</v>
      </c>
      <c r="E41" s="52" t="s">
        <v>25</v>
      </c>
      <c r="F41" s="52" t="s">
        <v>128</v>
      </c>
      <c r="G41" s="2">
        <v>46172</v>
      </c>
      <c r="H41" s="52" t="s">
        <v>27</v>
      </c>
      <c r="I41" s="1" t="s">
        <v>28</v>
      </c>
      <c r="J41" s="3">
        <v>38089390</v>
      </c>
      <c r="K41" s="3">
        <v>1000023376</v>
      </c>
      <c r="L41" s="3">
        <v>11199502</v>
      </c>
      <c r="M41" s="3">
        <v>801154662</v>
      </c>
      <c r="N41" s="3">
        <v>901369328</v>
      </c>
      <c r="O41" s="36">
        <v>491</v>
      </c>
      <c r="P41" s="36">
        <v>491</v>
      </c>
      <c r="Q41" s="36">
        <v>5000</v>
      </c>
      <c r="R41" s="36">
        <v>2455000</v>
      </c>
      <c r="S41" s="36">
        <v>441900</v>
      </c>
      <c r="T41" s="36">
        <v>2896900</v>
      </c>
      <c r="U41" s="1" t="s">
        <v>39</v>
      </c>
      <c r="V41" s="51" t="s">
        <v>30</v>
      </c>
      <c r="W41" s="1" t="s">
        <v>31</v>
      </c>
      <c r="X41" s="1" t="s">
        <v>30</v>
      </c>
      <c r="Y41" s="1" t="s">
        <v>129</v>
      </c>
      <c r="Z41" s="2">
        <v>46130</v>
      </c>
      <c r="AA41" s="2">
        <v>46860</v>
      </c>
      <c r="AB41" s="1" t="s">
        <v>30</v>
      </c>
    </row>
    <row r="42" spans="1:28" x14ac:dyDescent="0.35">
      <c r="A42" s="52" t="s">
        <v>104</v>
      </c>
      <c r="B42" s="52" t="s">
        <v>107</v>
      </c>
      <c r="C42" s="52" t="s">
        <v>24</v>
      </c>
      <c r="D42" s="3">
        <v>810001598</v>
      </c>
      <c r="E42" s="52" t="s">
        <v>25</v>
      </c>
      <c r="F42" s="52" t="s">
        <v>128</v>
      </c>
      <c r="G42" s="2">
        <v>46172</v>
      </c>
      <c r="H42" s="52" t="s">
        <v>27</v>
      </c>
      <c r="I42" s="1" t="s">
        <v>28</v>
      </c>
      <c r="J42" s="3">
        <v>38089390</v>
      </c>
      <c r="K42" s="3">
        <v>1000023376</v>
      </c>
      <c r="L42" s="3">
        <v>11199502</v>
      </c>
      <c r="M42" s="3">
        <v>801154662</v>
      </c>
      <c r="N42" s="3">
        <v>901369328</v>
      </c>
      <c r="O42" s="36">
        <v>1550</v>
      </c>
      <c r="P42" s="36">
        <v>1550</v>
      </c>
      <c r="Q42" s="36">
        <v>5000</v>
      </c>
      <c r="R42" s="36">
        <v>7750000</v>
      </c>
      <c r="S42" s="36">
        <v>1395000</v>
      </c>
      <c r="T42" s="36">
        <v>9145000</v>
      </c>
      <c r="U42" s="1" t="s">
        <v>39</v>
      </c>
      <c r="V42" s="51" t="s">
        <v>30</v>
      </c>
      <c r="W42" s="1" t="s">
        <v>31</v>
      </c>
      <c r="X42" s="1" t="s">
        <v>30</v>
      </c>
      <c r="Y42" s="1" t="s">
        <v>130</v>
      </c>
      <c r="Z42" s="2">
        <v>46139</v>
      </c>
      <c r="AA42" s="2">
        <v>46869</v>
      </c>
      <c r="AB42" s="1" t="s">
        <v>30</v>
      </c>
    </row>
    <row r="43" spans="1:28" x14ac:dyDescent="0.35">
      <c r="A43" s="52" t="s">
        <v>104</v>
      </c>
      <c r="B43" s="52" t="s">
        <v>107</v>
      </c>
      <c r="C43" s="52" t="s">
        <v>24</v>
      </c>
      <c r="D43" s="3">
        <v>810001598</v>
      </c>
      <c r="E43" s="52" t="s">
        <v>25</v>
      </c>
      <c r="F43" s="52" t="s">
        <v>128</v>
      </c>
      <c r="G43" s="2">
        <v>46172</v>
      </c>
      <c r="H43" s="52" t="s">
        <v>27</v>
      </c>
      <c r="I43" s="1" t="s">
        <v>28</v>
      </c>
      <c r="J43" s="3">
        <v>38089390</v>
      </c>
      <c r="K43" s="3">
        <v>1000023376</v>
      </c>
      <c r="L43" s="3">
        <v>11199502</v>
      </c>
      <c r="M43" s="3">
        <v>801154662</v>
      </c>
      <c r="N43" s="3">
        <v>901369328</v>
      </c>
      <c r="O43" s="36">
        <v>1630</v>
      </c>
      <c r="P43" s="36">
        <v>1630</v>
      </c>
      <c r="Q43" s="36">
        <v>5000</v>
      </c>
      <c r="R43" s="36">
        <v>8150000</v>
      </c>
      <c r="S43" s="36">
        <v>1467000</v>
      </c>
      <c r="T43" s="36">
        <v>9617000</v>
      </c>
      <c r="U43" s="1" t="s">
        <v>39</v>
      </c>
      <c r="V43" s="51" t="s">
        <v>30</v>
      </c>
      <c r="W43" s="1" t="s">
        <v>31</v>
      </c>
      <c r="X43" s="1" t="s">
        <v>30</v>
      </c>
      <c r="Y43" s="1" t="s">
        <v>131</v>
      </c>
      <c r="Z43" s="2">
        <v>46142</v>
      </c>
      <c r="AA43" s="2">
        <v>46872</v>
      </c>
      <c r="AB43" s="1" t="s">
        <v>30</v>
      </c>
    </row>
    <row r="44" spans="1:28" x14ac:dyDescent="0.35">
      <c r="A44" s="52" t="s">
        <v>104</v>
      </c>
      <c r="B44" s="52" t="s">
        <v>107</v>
      </c>
      <c r="C44" s="52" t="s">
        <v>24</v>
      </c>
      <c r="D44" s="3">
        <v>810001598</v>
      </c>
      <c r="E44" s="52" t="s">
        <v>25</v>
      </c>
      <c r="F44" s="52" t="s">
        <v>128</v>
      </c>
      <c r="G44" s="2">
        <v>46172</v>
      </c>
      <c r="H44" s="52" t="s">
        <v>27</v>
      </c>
      <c r="I44" s="1" t="s">
        <v>28</v>
      </c>
      <c r="J44" s="3">
        <v>38089390</v>
      </c>
      <c r="K44" s="3">
        <v>1000023376</v>
      </c>
      <c r="L44" s="3">
        <v>11199502</v>
      </c>
      <c r="M44" s="3">
        <v>801154662</v>
      </c>
      <c r="N44" s="3">
        <v>901369328</v>
      </c>
      <c r="O44" s="36">
        <v>1650</v>
      </c>
      <c r="P44" s="36">
        <v>1650</v>
      </c>
      <c r="Q44" s="36">
        <v>5000</v>
      </c>
      <c r="R44" s="36">
        <v>8250000</v>
      </c>
      <c r="S44" s="36">
        <v>1485000</v>
      </c>
      <c r="T44" s="36">
        <v>9735000</v>
      </c>
      <c r="U44" s="1" t="s">
        <v>39</v>
      </c>
      <c r="V44" s="51" t="s">
        <v>30</v>
      </c>
      <c r="W44" s="1" t="s">
        <v>31</v>
      </c>
      <c r="X44" s="1" t="s">
        <v>30</v>
      </c>
      <c r="Y44" s="1" t="s">
        <v>132</v>
      </c>
      <c r="Z44" s="2">
        <v>46142</v>
      </c>
      <c r="AA44" s="2">
        <v>46872</v>
      </c>
      <c r="AB44" s="1" t="s">
        <v>30</v>
      </c>
    </row>
    <row r="45" spans="1:28" x14ac:dyDescent="0.35">
      <c r="A45" s="52" t="s">
        <v>104</v>
      </c>
      <c r="B45" s="52" t="s">
        <v>107</v>
      </c>
      <c r="C45" s="52" t="s">
        <v>24</v>
      </c>
      <c r="D45" s="3">
        <v>810001598</v>
      </c>
      <c r="E45" s="52" t="s">
        <v>25</v>
      </c>
      <c r="F45" s="52" t="s">
        <v>133</v>
      </c>
      <c r="G45" s="2">
        <v>46173</v>
      </c>
      <c r="H45" s="52" t="s">
        <v>27</v>
      </c>
      <c r="I45" s="1" t="s">
        <v>28</v>
      </c>
      <c r="J45" s="3">
        <v>38089390</v>
      </c>
      <c r="K45" s="3">
        <v>1000023376</v>
      </c>
      <c r="L45" s="3">
        <v>11200107</v>
      </c>
      <c r="M45" s="3">
        <v>801155236</v>
      </c>
      <c r="N45" s="3">
        <v>901370139</v>
      </c>
      <c r="O45" s="36">
        <v>1640</v>
      </c>
      <c r="P45" s="36">
        <v>1640</v>
      </c>
      <c r="Q45" s="36">
        <v>5000</v>
      </c>
      <c r="R45" s="36">
        <v>8200000</v>
      </c>
      <c r="S45" s="36">
        <v>1476000</v>
      </c>
      <c r="T45" s="36">
        <v>9676000</v>
      </c>
      <c r="U45" s="1" t="s">
        <v>39</v>
      </c>
      <c r="V45" s="51" t="s">
        <v>30</v>
      </c>
      <c r="W45" s="1" t="s">
        <v>137</v>
      </c>
      <c r="X45" s="1" t="s">
        <v>30</v>
      </c>
      <c r="Y45" s="1" t="s">
        <v>134</v>
      </c>
      <c r="Z45" s="2">
        <v>46143</v>
      </c>
      <c r="AA45" s="2">
        <v>46873</v>
      </c>
      <c r="AB45" s="4"/>
    </row>
    <row r="46" spans="1:28" x14ac:dyDescent="0.35">
      <c r="A46" s="52" t="s">
        <v>104</v>
      </c>
      <c r="B46" s="52" t="s">
        <v>107</v>
      </c>
      <c r="C46" s="52" t="s">
        <v>24</v>
      </c>
      <c r="D46" s="3">
        <v>810001598</v>
      </c>
      <c r="E46" s="52" t="s">
        <v>25</v>
      </c>
      <c r="F46" s="52" t="s">
        <v>133</v>
      </c>
      <c r="G46" s="2">
        <v>46173</v>
      </c>
      <c r="H46" s="52" t="s">
        <v>27</v>
      </c>
      <c r="I46" s="1" t="s">
        <v>28</v>
      </c>
      <c r="J46" s="3">
        <v>38089390</v>
      </c>
      <c r="K46" s="3">
        <v>1000023376</v>
      </c>
      <c r="L46" s="3">
        <v>11200107</v>
      </c>
      <c r="M46" s="3">
        <v>801155236</v>
      </c>
      <c r="N46" s="3">
        <v>901370139</v>
      </c>
      <c r="O46" s="36">
        <v>1640</v>
      </c>
      <c r="P46" s="36">
        <v>1640</v>
      </c>
      <c r="Q46" s="36">
        <v>5000</v>
      </c>
      <c r="R46" s="36">
        <v>8200000</v>
      </c>
      <c r="S46" s="36">
        <v>1476000</v>
      </c>
      <c r="T46" s="36">
        <v>9676000</v>
      </c>
      <c r="U46" s="1" t="s">
        <v>39</v>
      </c>
      <c r="V46" s="51" t="s">
        <v>30</v>
      </c>
      <c r="W46" s="1" t="s">
        <v>137</v>
      </c>
      <c r="X46" s="1" t="s">
        <v>30</v>
      </c>
      <c r="Y46" s="1" t="s">
        <v>135</v>
      </c>
      <c r="Z46" s="2">
        <v>46146</v>
      </c>
      <c r="AA46" s="2">
        <v>46876</v>
      </c>
      <c r="AB46" s="4"/>
    </row>
    <row r="47" spans="1:28" x14ac:dyDescent="0.35">
      <c r="A47" s="52" t="s">
        <v>104</v>
      </c>
      <c r="B47" s="52" t="s">
        <v>107</v>
      </c>
      <c r="C47" s="52" t="s">
        <v>24</v>
      </c>
      <c r="D47" s="3">
        <v>810001598</v>
      </c>
      <c r="E47" s="52" t="s">
        <v>25</v>
      </c>
      <c r="F47" s="52" t="s">
        <v>133</v>
      </c>
      <c r="G47" s="2">
        <v>46173</v>
      </c>
      <c r="H47" s="52" t="s">
        <v>27</v>
      </c>
      <c r="I47" s="1" t="s">
        <v>28</v>
      </c>
      <c r="J47" s="3">
        <v>38089390</v>
      </c>
      <c r="K47" s="3">
        <v>1000023376</v>
      </c>
      <c r="L47" s="3">
        <v>11200107</v>
      </c>
      <c r="M47" s="3">
        <v>801155236</v>
      </c>
      <c r="N47" s="3">
        <v>901370139</v>
      </c>
      <c r="O47" s="36">
        <v>1660</v>
      </c>
      <c r="P47" s="36">
        <v>1660</v>
      </c>
      <c r="Q47" s="36">
        <v>5000</v>
      </c>
      <c r="R47" s="36">
        <v>8300000</v>
      </c>
      <c r="S47" s="36">
        <v>1494000</v>
      </c>
      <c r="T47" s="36">
        <v>9794000</v>
      </c>
      <c r="U47" s="1" t="s">
        <v>39</v>
      </c>
      <c r="V47" s="51" t="s">
        <v>30</v>
      </c>
      <c r="W47" s="1" t="s">
        <v>137</v>
      </c>
      <c r="X47" s="1" t="s">
        <v>30</v>
      </c>
      <c r="Y47" s="1" t="s">
        <v>136</v>
      </c>
      <c r="Z47" s="2">
        <v>46148</v>
      </c>
      <c r="AA47" s="2">
        <v>46878</v>
      </c>
      <c r="AB47" s="4"/>
    </row>
    <row r="48" spans="1:28" x14ac:dyDescent="0.35">
      <c r="A48" s="52" t="s">
        <v>104</v>
      </c>
      <c r="B48" s="52" t="s">
        <v>141</v>
      </c>
      <c r="C48" s="52" t="s">
        <v>24</v>
      </c>
      <c r="D48" s="3">
        <v>810001130</v>
      </c>
      <c r="E48" s="52" t="s">
        <v>142</v>
      </c>
      <c r="F48" s="52" t="s">
        <v>143</v>
      </c>
      <c r="G48" s="2">
        <v>46179</v>
      </c>
      <c r="H48" s="52" t="s">
        <v>27</v>
      </c>
      <c r="I48" s="1" t="s">
        <v>28</v>
      </c>
      <c r="J48" s="3">
        <v>38089390</v>
      </c>
      <c r="K48" s="3">
        <v>1000023554</v>
      </c>
      <c r="L48" s="3">
        <v>11201468</v>
      </c>
      <c r="M48" s="3">
        <v>801156597</v>
      </c>
      <c r="N48" s="3">
        <v>901372127</v>
      </c>
      <c r="O48" s="78">
        <v>850</v>
      </c>
      <c r="P48" s="78">
        <v>850</v>
      </c>
      <c r="Q48" s="36">
        <v>4500</v>
      </c>
      <c r="R48" s="79">
        <v>3825000</v>
      </c>
      <c r="S48" s="79">
        <v>688500</v>
      </c>
      <c r="T48" s="79">
        <v>4513500</v>
      </c>
      <c r="U48" s="1" t="s">
        <v>39</v>
      </c>
      <c r="V48" s="53">
        <v>9415</v>
      </c>
      <c r="W48" s="1" t="s">
        <v>144</v>
      </c>
      <c r="X48" s="1" t="s">
        <v>30</v>
      </c>
      <c r="Y48" s="1" t="s">
        <v>145</v>
      </c>
      <c r="Z48" s="2">
        <v>46178</v>
      </c>
      <c r="AA48" s="2">
        <v>46908</v>
      </c>
      <c r="AB48" s="1" t="s">
        <v>30</v>
      </c>
    </row>
    <row r="49" spans="1:28" x14ac:dyDescent="0.35">
      <c r="A49" s="52" t="s">
        <v>104</v>
      </c>
      <c r="B49" s="52" t="s">
        <v>141</v>
      </c>
      <c r="C49" s="52" t="s">
        <v>24</v>
      </c>
      <c r="D49" s="3">
        <v>810001130</v>
      </c>
      <c r="E49" s="52" t="s">
        <v>142</v>
      </c>
      <c r="F49" s="52" t="s">
        <v>143</v>
      </c>
      <c r="G49" s="2">
        <v>46179</v>
      </c>
      <c r="H49" s="52" t="s">
        <v>27</v>
      </c>
      <c r="I49" s="1" t="s">
        <v>28</v>
      </c>
      <c r="J49" s="3">
        <v>38089390</v>
      </c>
      <c r="K49" s="3">
        <v>1000023554</v>
      </c>
      <c r="L49" s="3">
        <v>11201468</v>
      </c>
      <c r="M49" s="3">
        <v>801156597</v>
      </c>
      <c r="N49" s="3">
        <v>901372127</v>
      </c>
      <c r="O49" s="78">
        <v>225</v>
      </c>
      <c r="P49" s="78">
        <v>225</v>
      </c>
      <c r="Q49" s="36">
        <v>4500</v>
      </c>
      <c r="R49" s="79">
        <v>1012500</v>
      </c>
      <c r="S49" s="79">
        <v>182250</v>
      </c>
      <c r="T49" s="79">
        <v>1194750</v>
      </c>
      <c r="U49" s="1" t="s">
        <v>39</v>
      </c>
      <c r="V49" s="53">
        <v>9415</v>
      </c>
      <c r="W49" s="1" t="s">
        <v>144</v>
      </c>
      <c r="X49" s="1" t="s">
        <v>30</v>
      </c>
      <c r="Y49" s="1" t="s">
        <v>146</v>
      </c>
      <c r="Z49" s="2">
        <v>46178</v>
      </c>
      <c r="AA49" s="2">
        <v>46908</v>
      </c>
      <c r="AB49" s="1" t="s">
        <v>30</v>
      </c>
    </row>
    <row r="50" spans="1:28" x14ac:dyDescent="0.35">
      <c r="A50" s="52" t="s">
        <v>104</v>
      </c>
      <c r="B50" s="52" t="s">
        <v>141</v>
      </c>
      <c r="C50" s="52" t="s">
        <v>24</v>
      </c>
      <c r="D50" s="3">
        <v>810001130</v>
      </c>
      <c r="E50" s="52" t="s">
        <v>142</v>
      </c>
      <c r="F50" s="52" t="s">
        <v>147</v>
      </c>
      <c r="G50" s="2">
        <v>46181</v>
      </c>
      <c r="H50" s="52" t="s">
        <v>27</v>
      </c>
      <c r="I50" s="1" t="s">
        <v>28</v>
      </c>
      <c r="J50" s="3">
        <v>38089390</v>
      </c>
      <c r="K50" s="3">
        <v>1000023554</v>
      </c>
      <c r="L50" s="3">
        <v>11202027</v>
      </c>
      <c r="M50" s="3">
        <v>801157136</v>
      </c>
      <c r="N50" s="3">
        <v>901372884</v>
      </c>
      <c r="O50" s="78">
        <v>725</v>
      </c>
      <c r="P50" s="78">
        <v>725</v>
      </c>
      <c r="Q50" s="36">
        <v>4500</v>
      </c>
      <c r="R50" s="79">
        <v>3262500</v>
      </c>
      <c r="S50" s="79">
        <v>587250</v>
      </c>
      <c r="T50" s="79">
        <v>3849750</v>
      </c>
      <c r="U50" s="1" t="s">
        <v>39</v>
      </c>
      <c r="V50" s="53">
        <v>9425</v>
      </c>
      <c r="W50" s="1" t="s">
        <v>148</v>
      </c>
      <c r="X50" s="1" t="s">
        <v>30</v>
      </c>
      <c r="Y50" s="1" t="s">
        <v>149</v>
      </c>
      <c r="Z50" s="2">
        <v>46180</v>
      </c>
      <c r="AA50" s="2">
        <v>46910</v>
      </c>
      <c r="AB50" s="1" t="s">
        <v>30</v>
      </c>
    </row>
    <row r="51" spans="1:28" x14ac:dyDescent="0.35">
      <c r="A51" s="52" t="s">
        <v>104</v>
      </c>
      <c r="B51" s="52" t="s">
        <v>141</v>
      </c>
      <c r="C51" s="52" t="s">
        <v>24</v>
      </c>
      <c r="D51" s="3">
        <v>810001130</v>
      </c>
      <c r="E51" s="52" t="s">
        <v>142</v>
      </c>
      <c r="F51" s="52" t="s">
        <v>147</v>
      </c>
      <c r="G51" s="2">
        <v>46181</v>
      </c>
      <c r="H51" s="52" t="s">
        <v>27</v>
      </c>
      <c r="I51" s="1" t="s">
        <v>28</v>
      </c>
      <c r="J51" s="3">
        <v>38089390</v>
      </c>
      <c r="K51" s="3">
        <v>1000023554</v>
      </c>
      <c r="L51" s="3">
        <v>11202027</v>
      </c>
      <c r="M51" s="3">
        <v>801157136</v>
      </c>
      <c r="N51" s="3">
        <v>901372884</v>
      </c>
      <c r="O51" s="78">
        <v>250</v>
      </c>
      <c r="P51" s="78">
        <v>250</v>
      </c>
      <c r="Q51" s="36">
        <v>4500</v>
      </c>
      <c r="R51" s="79">
        <v>1125000</v>
      </c>
      <c r="S51" s="79">
        <v>202500</v>
      </c>
      <c r="T51" s="79">
        <v>1327500</v>
      </c>
      <c r="U51" s="1" t="s">
        <v>39</v>
      </c>
      <c r="V51" s="53">
        <v>9425</v>
      </c>
      <c r="W51" s="1" t="s">
        <v>148</v>
      </c>
      <c r="X51" s="1" t="s">
        <v>30</v>
      </c>
      <c r="Y51" s="1" t="s">
        <v>150</v>
      </c>
      <c r="Z51" s="2">
        <v>46180</v>
      </c>
      <c r="AA51" s="2">
        <v>46910</v>
      </c>
      <c r="AB51" s="1" t="s">
        <v>30</v>
      </c>
    </row>
    <row r="52" spans="1:28" x14ac:dyDescent="0.35">
      <c r="A52" s="52" t="s">
        <v>104</v>
      </c>
      <c r="B52" s="52" t="s">
        <v>141</v>
      </c>
      <c r="C52" s="52" t="s">
        <v>24</v>
      </c>
      <c r="D52" s="3">
        <v>810001598</v>
      </c>
      <c r="E52" s="52" t="s">
        <v>25</v>
      </c>
      <c r="F52" s="52" t="s">
        <v>151</v>
      </c>
      <c r="G52" s="2">
        <v>46183</v>
      </c>
      <c r="H52" s="52" t="s">
        <v>27</v>
      </c>
      <c r="I52" s="1" t="s">
        <v>28</v>
      </c>
      <c r="J52" s="3">
        <v>38089390</v>
      </c>
      <c r="K52" s="3">
        <v>1000023376</v>
      </c>
      <c r="L52" s="3">
        <v>11202650</v>
      </c>
      <c r="M52" s="3">
        <v>801157777</v>
      </c>
      <c r="N52" s="3">
        <v>901374007</v>
      </c>
      <c r="O52" s="78">
        <v>1620</v>
      </c>
      <c r="P52" s="78">
        <v>1620</v>
      </c>
      <c r="Q52" s="36">
        <v>5000</v>
      </c>
      <c r="R52" s="79">
        <v>8100000</v>
      </c>
      <c r="S52" s="79">
        <v>1458000</v>
      </c>
      <c r="T52" s="79">
        <v>9558000</v>
      </c>
      <c r="U52" s="1" t="s">
        <v>39</v>
      </c>
      <c r="V52" s="51" t="s">
        <v>30</v>
      </c>
      <c r="W52" s="1" t="s">
        <v>31</v>
      </c>
      <c r="X52" s="1" t="s">
        <v>30</v>
      </c>
      <c r="Y52" s="1" t="s">
        <v>152</v>
      </c>
      <c r="Z52" s="2">
        <v>46148</v>
      </c>
      <c r="AA52" s="2">
        <v>46878</v>
      </c>
      <c r="AB52" s="1" t="s">
        <v>30</v>
      </c>
    </row>
    <row r="53" spans="1:28" x14ac:dyDescent="0.35">
      <c r="A53" s="52" t="s">
        <v>104</v>
      </c>
      <c r="B53" s="52" t="s">
        <v>141</v>
      </c>
      <c r="C53" s="52" t="s">
        <v>24</v>
      </c>
      <c r="D53" s="3">
        <v>810001598</v>
      </c>
      <c r="E53" s="52" t="s">
        <v>25</v>
      </c>
      <c r="F53" s="52" t="s">
        <v>151</v>
      </c>
      <c r="G53" s="2">
        <v>46183</v>
      </c>
      <c r="H53" s="52" t="s">
        <v>27</v>
      </c>
      <c r="I53" s="1" t="s">
        <v>28</v>
      </c>
      <c r="J53" s="3">
        <v>38089390</v>
      </c>
      <c r="K53" s="3">
        <v>1000023376</v>
      </c>
      <c r="L53" s="3">
        <v>11202650</v>
      </c>
      <c r="M53" s="3">
        <v>801157777</v>
      </c>
      <c r="N53" s="3">
        <v>901374007</v>
      </c>
      <c r="O53" s="78">
        <v>1640</v>
      </c>
      <c r="P53" s="78">
        <v>1640</v>
      </c>
      <c r="Q53" s="36">
        <v>5000</v>
      </c>
      <c r="R53" s="79">
        <v>8200000</v>
      </c>
      <c r="S53" s="79">
        <v>1476000</v>
      </c>
      <c r="T53" s="79">
        <v>9676000</v>
      </c>
      <c r="U53" s="1" t="s">
        <v>39</v>
      </c>
      <c r="V53" s="51" t="s">
        <v>30</v>
      </c>
      <c r="W53" s="1" t="s">
        <v>31</v>
      </c>
      <c r="X53" s="1" t="s">
        <v>30</v>
      </c>
      <c r="Y53" s="1" t="s">
        <v>153</v>
      </c>
      <c r="Z53" s="2">
        <v>46149</v>
      </c>
      <c r="AA53" s="2">
        <v>46879</v>
      </c>
      <c r="AB53" s="1" t="s">
        <v>30</v>
      </c>
    </row>
    <row r="54" spans="1:28" x14ac:dyDescent="0.35">
      <c r="A54" s="52" t="s">
        <v>104</v>
      </c>
      <c r="B54" s="52" t="s">
        <v>141</v>
      </c>
      <c r="C54" s="52" t="s">
        <v>24</v>
      </c>
      <c r="D54" s="3">
        <v>810001598</v>
      </c>
      <c r="E54" s="52" t="s">
        <v>25</v>
      </c>
      <c r="F54" s="52" t="s">
        <v>154</v>
      </c>
      <c r="G54" s="2">
        <v>46186</v>
      </c>
      <c r="H54" s="52" t="s">
        <v>27</v>
      </c>
      <c r="I54" s="1" t="s">
        <v>28</v>
      </c>
      <c r="J54" s="3">
        <v>38089390</v>
      </c>
      <c r="K54" s="3">
        <v>1000023376</v>
      </c>
      <c r="L54" s="3">
        <v>11203940</v>
      </c>
      <c r="M54" s="3">
        <v>801159083</v>
      </c>
      <c r="N54" s="3">
        <v>901376169</v>
      </c>
      <c r="O54" s="78">
        <v>1560</v>
      </c>
      <c r="P54" s="78">
        <v>1560</v>
      </c>
      <c r="Q54" s="36">
        <v>5000</v>
      </c>
      <c r="R54" s="79">
        <v>7800000</v>
      </c>
      <c r="S54" s="79">
        <v>1404000</v>
      </c>
      <c r="T54" s="79">
        <v>9204000</v>
      </c>
      <c r="U54" s="1" t="s">
        <v>39</v>
      </c>
      <c r="V54" s="51" t="s">
        <v>30</v>
      </c>
      <c r="W54" s="1" t="s">
        <v>31</v>
      </c>
      <c r="X54" s="1" t="s">
        <v>30</v>
      </c>
      <c r="Y54" s="1" t="s">
        <v>155</v>
      </c>
      <c r="Z54" s="2">
        <v>46160</v>
      </c>
      <c r="AA54" s="2">
        <v>46890</v>
      </c>
      <c r="AB54" s="1" t="s">
        <v>30</v>
      </c>
    </row>
    <row r="55" spans="1:28" x14ac:dyDescent="0.35">
      <c r="A55" s="52" t="s">
        <v>104</v>
      </c>
      <c r="B55" s="52" t="s">
        <v>141</v>
      </c>
      <c r="C55" s="52" t="s">
        <v>24</v>
      </c>
      <c r="D55" s="3">
        <v>810001598</v>
      </c>
      <c r="E55" s="52" t="s">
        <v>25</v>
      </c>
      <c r="F55" s="52" t="s">
        <v>154</v>
      </c>
      <c r="G55" s="2">
        <v>46186</v>
      </c>
      <c r="H55" s="52" t="s">
        <v>27</v>
      </c>
      <c r="I55" s="1" t="s">
        <v>28</v>
      </c>
      <c r="J55" s="3">
        <v>38089390</v>
      </c>
      <c r="K55" s="3">
        <v>1000023376</v>
      </c>
      <c r="L55" s="3">
        <v>11203940</v>
      </c>
      <c r="M55" s="3">
        <v>801159083</v>
      </c>
      <c r="N55" s="3">
        <v>901376169</v>
      </c>
      <c r="O55" s="78">
        <v>1600</v>
      </c>
      <c r="P55" s="78">
        <v>1600</v>
      </c>
      <c r="Q55" s="36">
        <v>5000</v>
      </c>
      <c r="R55" s="79">
        <v>8000000</v>
      </c>
      <c r="S55" s="79">
        <v>1440000</v>
      </c>
      <c r="T55" s="79">
        <v>9440000</v>
      </c>
      <c r="U55" s="1" t="s">
        <v>39</v>
      </c>
      <c r="V55" s="51" t="s">
        <v>30</v>
      </c>
      <c r="W55" s="1" t="s">
        <v>31</v>
      </c>
      <c r="X55" s="1" t="s">
        <v>30</v>
      </c>
      <c r="Y55" s="1" t="s">
        <v>156</v>
      </c>
      <c r="Z55" s="2">
        <v>46155</v>
      </c>
      <c r="AA55" s="2">
        <v>46885</v>
      </c>
      <c r="AB55" s="1" t="s">
        <v>30</v>
      </c>
    </row>
    <row r="56" spans="1:28" x14ac:dyDescent="0.35">
      <c r="A56" s="52" t="s">
        <v>104</v>
      </c>
      <c r="B56" s="52" t="s">
        <v>141</v>
      </c>
      <c r="C56" s="52" t="s">
        <v>24</v>
      </c>
      <c r="D56" s="3">
        <v>810001598</v>
      </c>
      <c r="E56" s="52" t="s">
        <v>25</v>
      </c>
      <c r="F56" s="52" t="s">
        <v>154</v>
      </c>
      <c r="G56" s="2">
        <v>46186</v>
      </c>
      <c r="H56" s="52" t="s">
        <v>27</v>
      </c>
      <c r="I56" s="1" t="s">
        <v>28</v>
      </c>
      <c r="J56" s="3">
        <v>38089390</v>
      </c>
      <c r="K56" s="3">
        <v>1000023376</v>
      </c>
      <c r="L56" s="3">
        <v>11203940</v>
      </c>
      <c r="M56" s="3">
        <v>801159083</v>
      </c>
      <c r="N56" s="3">
        <v>901376169</v>
      </c>
      <c r="O56" s="78">
        <v>1550</v>
      </c>
      <c r="P56" s="78">
        <v>1550</v>
      </c>
      <c r="Q56" s="36">
        <v>5000</v>
      </c>
      <c r="R56" s="79">
        <v>7750000</v>
      </c>
      <c r="S56" s="79">
        <v>1395000</v>
      </c>
      <c r="T56" s="79">
        <v>9145000</v>
      </c>
      <c r="U56" s="1" t="s">
        <v>39</v>
      </c>
      <c r="V56" s="51" t="s">
        <v>30</v>
      </c>
      <c r="W56" s="1" t="s">
        <v>31</v>
      </c>
      <c r="X56" s="1" t="s">
        <v>30</v>
      </c>
      <c r="Y56" s="1" t="s">
        <v>157</v>
      </c>
      <c r="Z56" s="2">
        <v>46157</v>
      </c>
      <c r="AA56" s="2">
        <v>46887</v>
      </c>
      <c r="AB56" s="1" t="s">
        <v>30</v>
      </c>
    </row>
    <row r="57" spans="1:28" x14ac:dyDescent="0.35">
      <c r="A57" s="52" t="s">
        <v>104</v>
      </c>
      <c r="B57" s="52" t="s">
        <v>141</v>
      </c>
      <c r="C57" s="52" t="s">
        <v>24</v>
      </c>
      <c r="D57" s="3">
        <v>810001130</v>
      </c>
      <c r="E57" s="52" t="s">
        <v>142</v>
      </c>
      <c r="F57" s="52" t="s">
        <v>158</v>
      </c>
      <c r="G57" s="2">
        <v>46188</v>
      </c>
      <c r="H57" s="52" t="s">
        <v>27</v>
      </c>
      <c r="I57" s="1" t="s">
        <v>28</v>
      </c>
      <c r="J57" s="3">
        <v>38089390</v>
      </c>
      <c r="K57" s="3">
        <v>1000023554</v>
      </c>
      <c r="L57" s="3">
        <v>11204259</v>
      </c>
      <c r="M57" s="3">
        <v>801159764</v>
      </c>
      <c r="N57" s="3">
        <v>901377256</v>
      </c>
      <c r="O57" s="78">
        <v>500</v>
      </c>
      <c r="P57" s="78">
        <v>500</v>
      </c>
      <c r="Q57" s="36">
        <v>5000</v>
      </c>
      <c r="R57" s="79">
        <v>2500000</v>
      </c>
      <c r="S57" s="79">
        <v>450000</v>
      </c>
      <c r="T57" s="79">
        <v>2950000</v>
      </c>
      <c r="U57" s="1" t="s">
        <v>39</v>
      </c>
      <c r="V57" s="53">
        <v>9445</v>
      </c>
      <c r="W57" s="1" t="s">
        <v>159</v>
      </c>
      <c r="X57" s="1" t="s">
        <v>160</v>
      </c>
      <c r="Y57" s="1" t="s">
        <v>161</v>
      </c>
      <c r="Z57" s="2">
        <v>46187</v>
      </c>
      <c r="AA57" s="2">
        <v>46917</v>
      </c>
      <c r="AB57" s="1" t="s">
        <v>30</v>
      </c>
    </row>
    <row r="58" spans="1:28" x14ac:dyDescent="0.35">
      <c r="A58" s="52" t="s">
        <v>162</v>
      </c>
      <c r="B58" s="52" t="s">
        <v>141</v>
      </c>
      <c r="C58" s="52" t="s">
        <v>24</v>
      </c>
      <c r="D58" s="3">
        <v>810001130</v>
      </c>
      <c r="E58" s="52" t="s">
        <v>142</v>
      </c>
      <c r="F58" s="52" t="s">
        <v>158</v>
      </c>
      <c r="G58" s="2">
        <v>46188</v>
      </c>
      <c r="H58" s="52" t="s">
        <v>27</v>
      </c>
      <c r="I58" s="1" t="s">
        <v>28</v>
      </c>
      <c r="J58" s="3">
        <v>38089390</v>
      </c>
      <c r="K58" s="3">
        <v>1000023554</v>
      </c>
      <c r="L58" s="3">
        <v>11204259</v>
      </c>
      <c r="M58" s="3">
        <v>801159764</v>
      </c>
      <c r="N58" s="3">
        <v>901377261</v>
      </c>
      <c r="O58" s="78">
        <v>-500</v>
      </c>
      <c r="P58" s="78">
        <v>-500</v>
      </c>
      <c r="Q58" s="36">
        <v>5000</v>
      </c>
      <c r="R58" s="79">
        <v>-2500000</v>
      </c>
      <c r="S58" s="79">
        <v>-450000</v>
      </c>
      <c r="T58" s="79">
        <v>-2950000</v>
      </c>
      <c r="U58" s="1" t="s">
        <v>39</v>
      </c>
      <c r="V58" s="51" t="s">
        <v>30</v>
      </c>
      <c r="W58" s="1" t="s">
        <v>159</v>
      </c>
      <c r="X58" s="1" t="s">
        <v>160</v>
      </c>
      <c r="Y58" s="1" t="s">
        <v>161</v>
      </c>
      <c r="Z58" s="2">
        <v>46187</v>
      </c>
      <c r="AA58" s="2">
        <v>46917</v>
      </c>
      <c r="AB58" s="1" t="s">
        <v>30</v>
      </c>
    </row>
    <row r="59" spans="1:28" x14ac:dyDescent="0.35">
      <c r="A59" s="52" t="s">
        <v>104</v>
      </c>
      <c r="B59" s="52" t="s">
        <v>141</v>
      </c>
      <c r="C59" s="52" t="s">
        <v>24</v>
      </c>
      <c r="D59" s="3">
        <v>810001130</v>
      </c>
      <c r="E59" s="52" t="s">
        <v>142</v>
      </c>
      <c r="F59" s="52" t="s">
        <v>163</v>
      </c>
      <c r="G59" s="2">
        <v>46188</v>
      </c>
      <c r="H59" s="52" t="s">
        <v>27</v>
      </c>
      <c r="I59" s="1" t="s">
        <v>28</v>
      </c>
      <c r="J59" s="3">
        <v>38089390</v>
      </c>
      <c r="K59" s="3">
        <v>1000023554</v>
      </c>
      <c r="L59" s="3">
        <v>11204259</v>
      </c>
      <c r="M59" s="3">
        <v>801159764</v>
      </c>
      <c r="N59" s="3">
        <v>901377266</v>
      </c>
      <c r="O59" s="78">
        <v>500</v>
      </c>
      <c r="P59" s="78">
        <v>500</v>
      </c>
      <c r="Q59" s="36">
        <v>4500</v>
      </c>
      <c r="R59" s="79">
        <v>2250000</v>
      </c>
      <c r="S59" s="79">
        <v>405000</v>
      </c>
      <c r="T59" s="79">
        <v>2655000</v>
      </c>
      <c r="U59" s="1" t="s">
        <v>39</v>
      </c>
      <c r="V59" s="53">
        <v>9445</v>
      </c>
      <c r="W59" s="1" t="s">
        <v>159</v>
      </c>
      <c r="X59" s="1" t="s">
        <v>30</v>
      </c>
      <c r="Y59" s="1" t="s">
        <v>161</v>
      </c>
      <c r="Z59" s="2">
        <v>46187</v>
      </c>
      <c r="AA59" s="2">
        <v>46917</v>
      </c>
      <c r="AB59" s="1" t="s">
        <v>30</v>
      </c>
    </row>
    <row r="60" spans="1:28" x14ac:dyDescent="0.35">
      <c r="A60" s="52" t="s">
        <v>104</v>
      </c>
      <c r="B60" s="52" t="s">
        <v>141</v>
      </c>
      <c r="C60" s="52" t="s">
        <v>24</v>
      </c>
      <c r="D60" s="3">
        <v>810001598</v>
      </c>
      <c r="E60" s="52" t="s">
        <v>25</v>
      </c>
      <c r="F60" s="52" t="s">
        <v>164</v>
      </c>
      <c r="G60" s="2">
        <v>46189</v>
      </c>
      <c r="H60" s="52" t="s">
        <v>27</v>
      </c>
      <c r="I60" s="1" t="s">
        <v>28</v>
      </c>
      <c r="J60" s="3">
        <v>38089390</v>
      </c>
      <c r="K60" s="3">
        <v>1000023376</v>
      </c>
      <c r="L60" s="3">
        <v>11204695</v>
      </c>
      <c r="M60" s="3">
        <v>801159935</v>
      </c>
      <c r="N60" s="3">
        <v>901377642</v>
      </c>
      <c r="O60" s="78">
        <v>1600</v>
      </c>
      <c r="P60" s="78">
        <v>1600</v>
      </c>
      <c r="Q60" s="36">
        <v>5000</v>
      </c>
      <c r="R60" s="79">
        <v>8000000</v>
      </c>
      <c r="S60" s="79">
        <v>1440000</v>
      </c>
      <c r="T60" s="79">
        <v>9440000</v>
      </c>
      <c r="U60" s="1" t="s">
        <v>39</v>
      </c>
      <c r="V60" s="51" t="s">
        <v>30</v>
      </c>
      <c r="W60" s="1" t="s">
        <v>31</v>
      </c>
      <c r="X60" s="1" t="s">
        <v>30</v>
      </c>
      <c r="Y60" s="1" t="s">
        <v>165</v>
      </c>
      <c r="Z60" s="2">
        <v>46158</v>
      </c>
      <c r="AA60" s="2">
        <v>46888</v>
      </c>
      <c r="AB60" s="1" t="s">
        <v>30</v>
      </c>
    </row>
    <row r="61" spans="1:28" x14ac:dyDescent="0.35">
      <c r="A61" s="52" t="s">
        <v>104</v>
      </c>
      <c r="B61" s="52" t="s">
        <v>141</v>
      </c>
      <c r="C61" s="52" t="s">
        <v>24</v>
      </c>
      <c r="D61" s="3">
        <v>810001598</v>
      </c>
      <c r="E61" s="52" t="s">
        <v>25</v>
      </c>
      <c r="F61" s="52" t="s">
        <v>164</v>
      </c>
      <c r="G61" s="2">
        <v>46189</v>
      </c>
      <c r="H61" s="52" t="s">
        <v>27</v>
      </c>
      <c r="I61" s="1" t="s">
        <v>28</v>
      </c>
      <c r="J61" s="3">
        <v>38089390</v>
      </c>
      <c r="K61" s="3">
        <v>1000023376</v>
      </c>
      <c r="L61" s="3">
        <v>11204695</v>
      </c>
      <c r="M61" s="3">
        <v>801159935</v>
      </c>
      <c r="N61" s="3">
        <v>901377642</v>
      </c>
      <c r="O61" s="78">
        <v>1600</v>
      </c>
      <c r="P61" s="78">
        <v>1600</v>
      </c>
      <c r="Q61" s="36">
        <v>5000</v>
      </c>
      <c r="R61" s="79">
        <v>8000000</v>
      </c>
      <c r="S61" s="79">
        <v>1440000</v>
      </c>
      <c r="T61" s="79">
        <v>9440000</v>
      </c>
      <c r="U61" s="1" t="s">
        <v>39</v>
      </c>
      <c r="V61" s="51" t="s">
        <v>30</v>
      </c>
      <c r="W61" s="1" t="s">
        <v>31</v>
      </c>
      <c r="X61" s="1" t="s">
        <v>30</v>
      </c>
      <c r="Y61" s="1" t="s">
        <v>166</v>
      </c>
      <c r="Z61" s="2">
        <v>46170</v>
      </c>
      <c r="AA61" s="2">
        <v>46900</v>
      </c>
      <c r="AB61" s="1" t="s">
        <v>30</v>
      </c>
    </row>
    <row r="62" spans="1:28" x14ac:dyDescent="0.35">
      <c r="A62" s="52" t="s">
        <v>104</v>
      </c>
      <c r="B62" s="52" t="s">
        <v>141</v>
      </c>
      <c r="C62" s="52" t="s">
        <v>24</v>
      </c>
      <c r="D62" s="3">
        <v>810001598</v>
      </c>
      <c r="E62" s="52" t="s">
        <v>25</v>
      </c>
      <c r="F62" s="52" t="s">
        <v>164</v>
      </c>
      <c r="G62" s="2">
        <v>46189</v>
      </c>
      <c r="H62" s="52" t="s">
        <v>27</v>
      </c>
      <c r="I62" s="1" t="s">
        <v>28</v>
      </c>
      <c r="J62" s="3">
        <v>38089390</v>
      </c>
      <c r="K62" s="3">
        <v>1000023376</v>
      </c>
      <c r="L62" s="3">
        <v>11204695</v>
      </c>
      <c r="M62" s="3">
        <v>801159935</v>
      </c>
      <c r="N62" s="3">
        <v>901377642</v>
      </c>
      <c r="O62" s="78">
        <v>1570</v>
      </c>
      <c r="P62" s="78">
        <v>1570</v>
      </c>
      <c r="Q62" s="36">
        <v>5000</v>
      </c>
      <c r="R62" s="79">
        <v>7850000</v>
      </c>
      <c r="S62" s="79">
        <v>1413000</v>
      </c>
      <c r="T62" s="79">
        <v>9263000</v>
      </c>
      <c r="U62" s="1" t="s">
        <v>39</v>
      </c>
      <c r="V62" s="51" t="s">
        <v>30</v>
      </c>
      <c r="W62" s="1" t="s">
        <v>31</v>
      </c>
      <c r="X62" s="1" t="s">
        <v>30</v>
      </c>
      <c r="Y62" s="1" t="s">
        <v>167</v>
      </c>
      <c r="Z62" s="2">
        <v>46185</v>
      </c>
      <c r="AA62" s="2">
        <v>46915</v>
      </c>
      <c r="AB62" s="1" t="s">
        <v>30</v>
      </c>
    </row>
    <row r="63" spans="1:28" x14ac:dyDescent="0.35">
      <c r="A63" s="52" t="s">
        <v>104</v>
      </c>
      <c r="B63" s="52" t="s">
        <v>141</v>
      </c>
      <c r="C63" s="52" t="s">
        <v>24</v>
      </c>
      <c r="D63" s="3">
        <v>810001130</v>
      </c>
      <c r="E63" s="52" t="s">
        <v>142</v>
      </c>
      <c r="F63" s="52" t="s">
        <v>168</v>
      </c>
      <c r="G63" s="2">
        <v>46189</v>
      </c>
      <c r="H63" s="52" t="s">
        <v>27</v>
      </c>
      <c r="I63" s="1" t="s">
        <v>28</v>
      </c>
      <c r="J63" s="3">
        <v>38089390</v>
      </c>
      <c r="K63" s="3">
        <v>1000023554</v>
      </c>
      <c r="L63" s="3">
        <v>11204834</v>
      </c>
      <c r="M63" s="3">
        <v>801160139</v>
      </c>
      <c r="N63" s="3">
        <v>901377937</v>
      </c>
      <c r="O63" s="78">
        <v>575</v>
      </c>
      <c r="P63" s="78">
        <v>575</v>
      </c>
      <c r="Q63" s="36">
        <v>4500</v>
      </c>
      <c r="R63" s="79">
        <v>2587500</v>
      </c>
      <c r="S63" s="79">
        <v>465750</v>
      </c>
      <c r="T63" s="79">
        <v>3053250</v>
      </c>
      <c r="U63" s="1" t="s">
        <v>39</v>
      </c>
      <c r="V63" s="53">
        <v>9448</v>
      </c>
      <c r="W63" s="1" t="s">
        <v>169</v>
      </c>
      <c r="X63" s="1" t="s">
        <v>30</v>
      </c>
      <c r="Y63" s="1" t="s">
        <v>170</v>
      </c>
      <c r="Z63" s="2">
        <v>46187</v>
      </c>
      <c r="AA63" s="2">
        <v>46917</v>
      </c>
      <c r="AB63" s="1" t="s">
        <v>30</v>
      </c>
    </row>
    <row r="64" spans="1:28" x14ac:dyDescent="0.35">
      <c r="A64" s="52" t="s">
        <v>104</v>
      </c>
      <c r="B64" s="52" t="s">
        <v>141</v>
      </c>
      <c r="C64" s="52" t="s">
        <v>24</v>
      </c>
      <c r="D64" s="3">
        <v>810001130</v>
      </c>
      <c r="E64" s="52" t="s">
        <v>142</v>
      </c>
      <c r="F64" s="52" t="s">
        <v>171</v>
      </c>
      <c r="G64" s="2">
        <v>46193</v>
      </c>
      <c r="H64" s="52" t="s">
        <v>27</v>
      </c>
      <c r="I64" s="1" t="s">
        <v>28</v>
      </c>
      <c r="J64" s="3">
        <v>38089390</v>
      </c>
      <c r="K64" s="3">
        <v>1000023554</v>
      </c>
      <c r="L64" s="3">
        <v>11206246</v>
      </c>
      <c r="M64" s="3">
        <v>801161633</v>
      </c>
      <c r="N64" s="3">
        <v>901380669</v>
      </c>
      <c r="O64" s="78">
        <v>600</v>
      </c>
      <c r="P64" s="78">
        <v>600</v>
      </c>
      <c r="Q64" s="78">
        <v>4500</v>
      </c>
      <c r="R64" s="79">
        <v>2700000</v>
      </c>
      <c r="S64" s="79">
        <v>486000</v>
      </c>
      <c r="T64" s="79">
        <v>3186000</v>
      </c>
      <c r="U64" s="1" t="s">
        <v>39</v>
      </c>
      <c r="V64" s="53">
        <v>9460</v>
      </c>
      <c r="W64" s="1" t="s">
        <v>172</v>
      </c>
      <c r="X64" s="1" t="s">
        <v>30</v>
      </c>
      <c r="Y64" s="1" t="s">
        <v>173</v>
      </c>
      <c r="Z64" s="2">
        <v>46192</v>
      </c>
      <c r="AA64" s="2">
        <v>46922</v>
      </c>
      <c r="AB64" s="1" t="s">
        <v>30</v>
      </c>
    </row>
    <row r="65" spans="1:28" x14ac:dyDescent="0.35">
      <c r="A65" s="52" t="s">
        <v>104</v>
      </c>
      <c r="B65" s="52" t="s">
        <v>141</v>
      </c>
      <c r="C65" s="52" t="s">
        <v>24</v>
      </c>
      <c r="D65" s="3">
        <v>810001130</v>
      </c>
      <c r="E65" s="52" t="s">
        <v>142</v>
      </c>
      <c r="F65" s="52" t="s">
        <v>174</v>
      </c>
      <c r="G65" s="2">
        <v>46193</v>
      </c>
      <c r="H65" s="52" t="s">
        <v>27</v>
      </c>
      <c r="I65" s="1" t="s">
        <v>28</v>
      </c>
      <c r="J65" s="3">
        <v>38089390</v>
      </c>
      <c r="K65" s="3">
        <v>1000023554</v>
      </c>
      <c r="L65" s="3">
        <v>11206246</v>
      </c>
      <c r="M65" s="3">
        <v>801161681</v>
      </c>
      <c r="N65" s="3">
        <v>901380729</v>
      </c>
      <c r="O65" s="78">
        <v>475</v>
      </c>
      <c r="P65" s="78">
        <v>475</v>
      </c>
      <c r="Q65" s="78">
        <v>4500</v>
      </c>
      <c r="R65" s="79">
        <v>2137500</v>
      </c>
      <c r="S65" s="79">
        <v>384750</v>
      </c>
      <c r="T65" s="79">
        <v>2522250</v>
      </c>
      <c r="U65" s="1" t="s">
        <v>39</v>
      </c>
      <c r="V65" s="53">
        <v>9460</v>
      </c>
      <c r="W65" s="1" t="s">
        <v>172</v>
      </c>
      <c r="X65" s="1" t="s">
        <v>30</v>
      </c>
      <c r="Y65" s="1" t="s">
        <v>175</v>
      </c>
      <c r="Z65" s="2">
        <v>46192</v>
      </c>
      <c r="AA65" s="2">
        <v>46922</v>
      </c>
      <c r="AB65" s="1" t="s">
        <v>30</v>
      </c>
    </row>
    <row r="66" spans="1:28" x14ac:dyDescent="0.35">
      <c r="A66" s="52" t="s">
        <v>104</v>
      </c>
      <c r="B66" s="52" t="s">
        <v>141</v>
      </c>
      <c r="C66" s="52" t="s">
        <v>64</v>
      </c>
      <c r="D66" s="53">
        <v>810001201</v>
      </c>
      <c r="E66" s="52" t="s">
        <v>176</v>
      </c>
      <c r="F66" s="52" t="s">
        <v>177</v>
      </c>
      <c r="G66" s="2">
        <v>46197</v>
      </c>
      <c r="H66" s="52" t="s">
        <v>27</v>
      </c>
      <c r="I66" s="51" t="s">
        <v>28</v>
      </c>
      <c r="J66" s="53">
        <v>38089390</v>
      </c>
      <c r="K66" s="53">
        <v>1000023442</v>
      </c>
      <c r="L66" s="53">
        <v>11207651</v>
      </c>
      <c r="M66" s="53">
        <v>801163357</v>
      </c>
      <c r="N66" s="53">
        <v>901383436</v>
      </c>
      <c r="O66" s="78">
        <v>640</v>
      </c>
      <c r="P66" s="78">
        <v>640</v>
      </c>
      <c r="Q66" s="84">
        <f>R66/P66</f>
        <v>2100</v>
      </c>
      <c r="R66" s="79">
        <v>1344000</v>
      </c>
      <c r="S66" s="79">
        <v>241920</v>
      </c>
      <c r="T66" s="79">
        <v>1585920</v>
      </c>
      <c r="U66" s="1" t="s">
        <v>39</v>
      </c>
      <c r="V66" s="53">
        <v>9468</v>
      </c>
      <c r="W66" s="1" t="s">
        <v>183</v>
      </c>
      <c r="X66" s="1" t="s">
        <v>30</v>
      </c>
      <c r="Y66" s="1" t="s">
        <v>184</v>
      </c>
      <c r="Z66" s="2">
        <v>46166</v>
      </c>
      <c r="AA66" s="2">
        <v>46896</v>
      </c>
      <c r="AB66" s="1" t="s">
        <v>30</v>
      </c>
    </row>
    <row r="67" spans="1:28" x14ac:dyDescent="0.35">
      <c r="A67" s="52" t="s">
        <v>104</v>
      </c>
      <c r="B67" s="52" t="s">
        <v>141</v>
      </c>
      <c r="C67" s="52" t="s">
        <v>64</v>
      </c>
      <c r="D67" s="53">
        <v>810001201</v>
      </c>
      <c r="E67" s="52" t="s">
        <v>176</v>
      </c>
      <c r="F67" s="52" t="s">
        <v>177</v>
      </c>
      <c r="G67" s="2">
        <v>46197</v>
      </c>
      <c r="H67" s="52" t="s">
        <v>27</v>
      </c>
      <c r="I67" s="51" t="s">
        <v>28</v>
      </c>
      <c r="J67" s="53">
        <v>38089390</v>
      </c>
      <c r="K67" s="53">
        <v>1000023442</v>
      </c>
      <c r="L67" s="53">
        <v>11207651</v>
      </c>
      <c r="M67" s="53">
        <v>801163357</v>
      </c>
      <c r="N67" s="53">
        <v>901383436</v>
      </c>
      <c r="O67" s="78">
        <v>600</v>
      </c>
      <c r="P67" s="78">
        <v>600</v>
      </c>
      <c r="Q67" s="84">
        <f t="shared" ref="Q67:Q111" si="4">R67/P67</f>
        <v>2100</v>
      </c>
      <c r="R67" s="79">
        <v>1260000</v>
      </c>
      <c r="S67" s="79">
        <v>226800</v>
      </c>
      <c r="T67" s="79">
        <v>1486800</v>
      </c>
      <c r="U67" s="1" t="s">
        <v>39</v>
      </c>
      <c r="V67" s="53">
        <v>9468</v>
      </c>
      <c r="W67" s="1" t="s">
        <v>183</v>
      </c>
      <c r="X67" s="1" t="s">
        <v>30</v>
      </c>
      <c r="Y67" s="1" t="s">
        <v>185</v>
      </c>
      <c r="Z67" s="2">
        <v>46173</v>
      </c>
      <c r="AA67" s="2">
        <v>46903</v>
      </c>
      <c r="AB67" s="1" t="s">
        <v>30</v>
      </c>
    </row>
    <row r="68" spans="1:28" x14ac:dyDescent="0.35">
      <c r="A68" s="52" t="s">
        <v>104</v>
      </c>
      <c r="B68" s="52" t="s">
        <v>141</v>
      </c>
      <c r="C68" s="52" t="s">
        <v>64</v>
      </c>
      <c r="D68" s="53">
        <v>810001201</v>
      </c>
      <c r="E68" s="52" t="s">
        <v>176</v>
      </c>
      <c r="F68" s="52" t="s">
        <v>177</v>
      </c>
      <c r="G68" s="2">
        <v>46197</v>
      </c>
      <c r="H68" s="52" t="s">
        <v>27</v>
      </c>
      <c r="I68" s="51" t="s">
        <v>28</v>
      </c>
      <c r="J68" s="53">
        <v>38089390</v>
      </c>
      <c r="K68" s="53">
        <v>1000023442</v>
      </c>
      <c r="L68" s="53">
        <v>11207651</v>
      </c>
      <c r="M68" s="53">
        <v>801163357</v>
      </c>
      <c r="N68" s="53">
        <v>901383436</v>
      </c>
      <c r="O68" s="78">
        <v>600</v>
      </c>
      <c r="P68" s="78">
        <v>600</v>
      </c>
      <c r="Q68" s="84">
        <f t="shared" si="4"/>
        <v>2100</v>
      </c>
      <c r="R68" s="79">
        <v>1260000</v>
      </c>
      <c r="S68" s="79">
        <v>226800</v>
      </c>
      <c r="T68" s="79">
        <v>1486800</v>
      </c>
      <c r="U68" s="1" t="s">
        <v>39</v>
      </c>
      <c r="V68" s="53">
        <v>9468</v>
      </c>
      <c r="W68" s="1" t="s">
        <v>183</v>
      </c>
      <c r="X68" s="1" t="s">
        <v>30</v>
      </c>
      <c r="Y68" s="1" t="s">
        <v>186</v>
      </c>
      <c r="Z68" s="2">
        <v>46173</v>
      </c>
      <c r="AA68" s="2">
        <v>46903</v>
      </c>
      <c r="AB68" s="1" t="s">
        <v>30</v>
      </c>
    </row>
    <row r="69" spans="1:28" x14ac:dyDescent="0.35">
      <c r="A69" s="52" t="s">
        <v>104</v>
      </c>
      <c r="B69" s="52" t="s">
        <v>141</v>
      </c>
      <c r="C69" s="52" t="s">
        <v>64</v>
      </c>
      <c r="D69" s="53">
        <v>810001201</v>
      </c>
      <c r="E69" s="52" t="s">
        <v>176</v>
      </c>
      <c r="F69" s="52" t="s">
        <v>177</v>
      </c>
      <c r="G69" s="2">
        <v>46197</v>
      </c>
      <c r="H69" s="52" t="s">
        <v>27</v>
      </c>
      <c r="I69" s="51" t="s">
        <v>28</v>
      </c>
      <c r="J69" s="53">
        <v>38089390</v>
      </c>
      <c r="K69" s="53">
        <v>1000023442</v>
      </c>
      <c r="L69" s="53">
        <v>11207651</v>
      </c>
      <c r="M69" s="53">
        <v>801163357</v>
      </c>
      <c r="N69" s="53">
        <v>901383436</v>
      </c>
      <c r="O69" s="78">
        <v>1040</v>
      </c>
      <c r="P69" s="78">
        <v>1040</v>
      </c>
      <c r="Q69" s="84">
        <f t="shared" si="4"/>
        <v>2100</v>
      </c>
      <c r="R69" s="79">
        <v>2184000</v>
      </c>
      <c r="S69" s="79">
        <v>393120</v>
      </c>
      <c r="T69" s="79">
        <v>2577120</v>
      </c>
      <c r="U69" s="1" t="s">
        <v>39</v>
      </c>
      <c r="V69" s="53">
        <v>9468</v>
      </c>
      <c r="W69" s="1" t="s">
        <v>183</v>
      </c>
      <c r="X69" s="1" t="s">
        <v>30</v>
      </c>
      <c r="Y69" s="1" t="s">
        <v>187</v>
      </c>
      <c r="Z69" s="2">
        <v>46139</v>
      </c>
      <c r="AA69" s="2">
        <v>46869</v>
      </c>
      <c r="AB69" s="1" t="s">
        <v>30</v>
      </c>
    </row>
    <row r="70" spans="1:28" x14ac:dyDescent="0.35">
      <c r="A70" s="52" t="s">
        <v>104</v>
      </c>
      <c r="B70" s="52" t="s">
        <v>141</v>
      </c>
      <c r="C70" s="52" t="s">
        <v>64</v>
      </c>
      <c r="D70" s="53">
        <v>810001201</v>
      </c>
      <c r="E70" s="52" t="s">
        <v>176</v>
      </c>
      <c r="F70" s="52" t="s">
        <v>177</v>
      </c>
      <c r="G70" s="2">
        <v>46197</v>
      </c>
      <c r="H70" s="52" t="s">
        <v>27</v>
      </c>
      <c r="I70" s="51" t="s">
        <v>28</v>
      </c>
      <c r="J70" s="53">
        <v>38089390</v>
      </c>
      <c r="K70" s="53">
        <v>1000023442</v>
      </c>
      <c r="L70" s="53">
        <v>11207651</v>
      </c>
      <c r="M70" s="53">
        <v>801163357</v>
      </c>
      <c r="N70" s="53">
        <v>901383436</v>
      </c>
      <c r="O70" s="78">
        <v>1180</v>
      </c>
      <c r="P70" s="78">
        <v>1180</v>
      </c>
      <c r="Q70" s="84">
        <f t="shared" si="4"/>
        <v>2100</v>
      </c>
      <c r="R70" s="79">
        <v>2478000</v>
      </c>
      <c r="S70" s="79">
        <v>446040</v>
      </c>
      <c r="T70" s="79">
        <v>2924040</v>
      </c>
      <c r="U70" s="1" t="s">
        <v>39</v>
      </c>
      <c r="V70" s="53">
        <v>9468</v>
      </c>
      <c r="W70" s="1" t="s">
        <v>183</v>
      </c>
      <c r="X70" s="1" t="s">
        <v>30</v>
      </c>
      <c r="Y70" s="1" t="s">
        <v>188</v>
      </c>
      <c r="Z70" s="2">
        <v>46154</v>
      </c>
      <c r="AA70" s="2">
        <v>46884</v>
      </c>
      <c r="AB70" s="1" t="s">
        <v>30</v>
      </c>
    </row>
    <row r="71" spans="1:28" x14ac:dyDescent="0.35">
      <c r="A71" s="52" t="s">
        <v>104</v>
      </c>
      <c r="B71" s="52" t="s">
        <v>141</v>
      </c>
      <c r="C71" s="52" t="s">
        <v>64</v>
      </c>
      <c r="D71" s="53">
        <v>810001201</v>
      </c>
      <c r="E71" s="52" t="s">
        <v>176</v>
      </c>
      <c r="F71" s="52" t="s">
        <v>177</v>
      </c>
      <c r="G71" s="2">
        <v>46197</v>
      </c>
      <c r="H71" s="52" t="s">
        <v>27</v>
      </c>
      <c r="I71" s="51" t="s">
        <v>28</v>
      </c>
      <c r="J71" s="53">
        <v>38089390</v>
      </c>
      <c r="K71" s="53">
        <v>1000023442</v>
      </c>
      <c r="L71" s="53">
        <v>11207651</v>
      </c>
      <c r="M71" s="53">
        <v>801163357</v>
      </c>
      <c r="N71" s="53">
        <v>901383436</v>
      </c>
      <c r="O71" s="78">
        <v>1140</v>
      </c>
      <c r="P71" s="78">
        <v>1140</v>
      </c>
      <c r="Q71" s="84">
        <f t="shared" si="4"/>
        <v>2100</v>
      </c>
      <c r="R71" s="79">
        <v>2394000</v>
      </c>
      <c r="S71" s="79">
        <v>430920</v>
      </c>
      <c r="T71" s="79">
        <v>2824920</v>
      </c>
      <c r="U71" s="1" t="s">
        <v>39</v>
      </c>
      <c r="V71" s="53">
        <v>9468</v>
      </c>
      <c r="W71" s="1" t="s">
        <v>183</v>
      </c>
      <c r="X71" s="1" t="s">
        <v>30</v>
      </c>
      <c r="Y71" s="1" t="s">
        <v>189</v>
      </c>
      <c r="Z71" s="2">
        <v>46154</v>
      </c>
      <c r="AA71" s="2">
        <v>46884</v>
      </c>
      <c r="AB71" s="1" t="s">
        <v>30</v>
      </c>
    </row>
    <row r="72" spans="1:28" x14ac:dyDescent="0.35">
      <c r="A72" s="52" t="s">
        <v>104</v>
      </c>
      <c r="B72" s="52" t="s">
        <v>141</v>
      </c>
      <c r="C72" s="52" t="s">
        <v>64</v>
      </c>
      <c r="D72" s="53">
        <v>810001201</v>
      </c>
      <c r="E72" s="52" t="s">
        <v>176</v>
      </c>
      <c r="F72" s="52" t="s">
        <v>177</v>
      </c>
      <c r="G72" s="2">
        <v>46197</v>
      </c>
      <c r="H72" s="52" t="s">
        <v>27</v>
      </c>
      <c r="I72" s="51" t="s">
        <v>28</v>
      </c>
      <c r="J72" s="53">
        <v>38089390</v>
      </c>
      <c r="K72" s="53">
        <v>1000023442</v>
      </c>
      <c r="L72" s="53">
        <v>11207651</v>
      </c>
      <c r="M72" s="53">
        <v>801163357</v>
      </c>
      <c r="N72" s="53">
        <v>901383436</v>
      </c>
      <c r="O72" s="78">
        <v>1120</v>
      </c>
      <c r="P72" s="78">
        <v>1120</v>
      </c>
      <c r="Q72" s="84">
        <f t="shared" si="4"/>
        <v>2100</v>
      </c>
      <c r="R72" s="79">
        <v>2352000</v>
      </c>
      <c r="S72" s="79">
        <v>423360</v>
      </c>
      <c r="T72" s="79">
        <v>2775360</v>
      </c>
      <c r="U72" s="1" t="s">
        <v>39</v>
      </c>
      <c r="V72" s="53">
        <v>9468</v>
      </c>
      <c r="W72" s="1" t="s">
        <v>183</v>
      </c>
      <c r="X72" s="1" t="s">
        <v>30</v>
      </c>
      <c r="Y72" s="1" t="s">
        <v>190</v>
      </c>
      <c r="Z72" s="2">
        <v>46162</v>
      </c>
      <c r="AA72" s="2">
        <v>46892</v>
      </c>
      <c r="AB72" s="1" t="s">
        <v>30</v>
      </c>
    </row>
    <row r="73" spans="1:28" x14ac:dyDescent="0.35">
      <c r="A73" s="52" t="s">
        <v>104</v>
      </c>
      <c r="B73" s="52" t="s">
        <v>141</v>
      </c>
      <c r="C73" s="52" t="s">
        <v>64</v>
      </c>
      <c r="D73" s="53">
        <v>810001201</v>
      </c>
      <c r="E73" s="52" t="s">
        <v>176</v>
      </c>
      <c r="F73" s="52" t="s">
        <v>177</v>
      </c>
      <c r="G73" s="2">
        <v>46197</v>
      </c>
      <c r="H73" s="52" t="s">
        <v>27</v>
      </c>
      <c r="I73" s="51" t="s">
        <v>28</v>
      </c>
      <c r="J73" s="53">
        <v>38089390</v>
      </c>
      <c r="K73" s="53">
        <v>1000023442</v>
      </c>
      <c r="L73" s="53">
        <v>11207651</v>
      </c>
      <c r="M73" s="53">
        <v>801163357</v>
      </c>
      <c r="N73" s="53">
        <v>901383436</v>
      </c>
      <c r="O73" s="78">
        <v>1180</v>
      </c>
      <c r="P73" s="78">
        <v>1180</v>
      </c>
      <c r="Q73" s="84">
        <f t="shared" si="4"/>
        <v>2100</v>
      </c>
      <c r="R73" s="79">
        <v>2478000</v>
      </c>
      <c r="S73" s="79">
        <v>446040</v>
      </c>
      <c r="T73" s="79">
        <v>2924040</v>
      </c>
      <c r="U73" s="1" t="s">
        <v>39</v>
      </c>
      <c r="V73" s="53">
        <v>9468</v>
      </c>
      <c r="W73" s="1" t="s">
        <v>183</v>
      </c>
      <c r="X73" s="1" t="s">
        <v>30</v>
      </c>
      <c r="Y73" s="1" t="s">
        <v>191</v>
      </c>
      <c r="Z73" s="2">
        <v>46120</v>
      </c>
      <c r="AA73" s="2">
        <v>46850</v>
      </c>
      <c r="AB73" s="1" t="s">
        <v>30</v>
      </c>
    </row>
    <row r="74" spans="1:28" x14ac:dyDescent="0.35">
      <c r="A74" s="52" t="s">
        <v>104</v>
      </c>
      <c r="B74" s="52" t="s">
        <v>141</v>
      </c>
      <c r="C74" s="52" t="s">
        <v>64</v>
      </c>
      <c r="D74" s="53">
        <v>810001201</v>
      </c>
      <c r="E74" s="52" t="s">
        <v>176</v>
      </c>
      <c r="F74" s="52" t="s">
        <v>177</v>
      </c>
      <c r="G74" s="2">
        <v>46197</v>
      </c>
      <c r="H74" s="52" t="s">
        <v>27</v>
      </c>
      <c r="I74" s="51" t="s">
        <v>28</v>
      </c>
      <c r="J74" s="53">
        <v>38089390</v>
      </c>
      <c r="K74" s="53">
        <v>1000023442</v>
      </c>
      <c r="L74" s="53">
        <v>11207651</v>
      </c>
      <c r="M74" s="53">
        <v>801163357</v>
      </c>
      <c r="N74" s="53">
        <v>901383436</v>
      </c>
      <c r="O74" s="78">
        <v>1180</v>
      </c>
      <c r="P74" s="78">
        <v>1180</v>
      </c>
      <c r="Q74" s="84">
        <f t="shared" si="4"/>
        <v>2100</v>
      </c>
      <c r="R74" s="79">
        <v>2478000</v>
      </c>
      <c r="S74" s="79">
        <v>446040</v>
      </c>
      <c r="T74" s="79">
        <v>2924040</v>
      </c>
      <c r="U74" s="1" t="s">
        <v>39</v>
      </c>
      <c r="V74" s="53">
        <v>9468</v>
      </c>
      <c r="W74" s="1" t="s">
        <v>183</v>
      </c>
      <c r="X74" s="1" t="s">
        <v>30</v>
      </c>
      <c r="Y74" s="1" t="s">
        <v>192</v>
      </c>
      <c r="Z74" s="2">
        <v>46122</v>
      </c>
      <c r="AA74" s="2">
        <v>46852</v>
      </c>
      <c r="AB74" s="1" t="s">
        <v>30</v>
      </c>
    </row>
    <row r="75" spans="1:28" x14ac:dyDescent="0.35">
      <c r="A75" s="52" t="s">
        <v>104</v>
      </c>
      <c r="B75" s="52" t="s">
        <v>141</v>
      </c>
      <c r="C75" s="52" t="s">
        <v>64</v>
      </c>
      <c r="D75" s="53">
        <v>810001201</v>
      </c>
      <c r="E75" s="52" t="s">
        <v>176</v>
      </c>
      <c r="F75" s="52" t="s">
        <v>177</v>
      </c>
      <c r="G75" s="2">
        <v>46197</v>
      </c>
      <c r="H75" s="52" t="s">
        <v>27</v>
      </c>
      <c r="I75" s="51" t="s">
        <v>28</v>
      </c>
      <c r="J75" s="53">
        <v>38089390</v>
      </c>
      <c r="K75" s="53">
        <v>1000023442</v>
      </c>
      <c r="L75" s="53">
        <v>11207651</v>
      </c>
      <c r="M75" s="53">
        <v>801163357</v>
      </c>
      <c r="N75" s="53">
        <v>901383436</v>
      </c>
      <c r="O75" s="78">
        <v>1180</v>
      </c>
      <c r="P75" s="78">
        <v>1180</v>
      </c>
      <c r="Q75" s="84">
        <f t="shared" si="4"/>
        <v>2100</v>
      </c>
      <c r="R75" s="79">
        <v>2478000</v>
      </c>
      <c r="S75" s="79">
        <v>446040</v>
      </c>
      <c r="T75" s="79">
        <v>2924040</v>
      </c>
      <c r="U75" s="1" t="s">
        <v>39</v>
      </c>
      <c r="V75" s="53">
        <v>9468</v>
      </c>
      <c r="W75" s="1" t="s">
        <v>183</v>
      </c>
      <c r="X75" s="1" t="s">
        <v>30</v>
      </c>
      <c r="Y75" s="1" t="s">
        <v>193</v>
      </c>
      <c r="Z75" s="2">
        <v>46130</v>
      </c>
      <c r="AA75" s="2">
        <v>46860</v>
      </c>
      <c r="AB75" s="1" t="s">
        <v>30</v>
      </c>
    </row>
    <row r="76" spans="1:28" x14ac:dyDescent="0.35">
      <c r="A76" s="52" t="s">
        <v>104</v>
      </c>
      <c r="B76" s="52" t="s">
        <v>141</v>
      </c>
      <c r="C76" s="52" t="s">
        <v>64</v>
      </c>
      <c r="D76" s="53">
        <v>810001201</v>
      </c>
      <c r="E76" s="52" t="s">
        <v>176</v>
      </c>
      <c r="F76" s="52" t="s">
        <v>177</v>
      </c>
      <c r="G76" s="2">
        <v>46197</v>
      </c>
      <c r="H76" s="52" t="s">
        <v>27</v>
      </c>
      <c r="I76" s="51" t="s">
        <v>28</v>
      </c>
      <c r="J76" s="53">
        <v>38089390</v>
      </c>
      <c r="K76" s="53">
        <v>1000023442</v>
      </c>
      <c r="L76" s="53">
        <v>11207651</v>
      </c>
      <c r="M76" s="53">
        <v>801163357</v>
      </c>
      <c r="N76" s="53">
        <v>901383436</v>
      </c>
      <c r="O76" s="78">
        <v>140</v>
      </c>
      <c r="P76" s="78">
        <v>140</v>
      </c>
      <c r="Q76" s="84">
        <f t="shared" si="4"/>
        <v>2100</v>
      </c>
      <c r="R76" s="79">
        <v>294000</v>
      </c>
      <c r="S76" s="79">
        <v>52920</v>
      </c>
      <c r="T76" s="79">
        <v>346920</v>
      </c>
      <c r="U76" s="1" t="s">
        <v>39</v>
      </c>
      <c r="V76" s="53">
        <v>9468</v>
      </c>
      <c r="W76" s="1" t="s">
        <v>183</v>
      </c>
      <c r="X76" s="1" t="s">
        <v>30</v>
      </c>
      <c r="Y76" s="1" t="s">
        <v>194</v>
      </c>
      <c r="Z76" s="2">
        <v>46132</v>
      </c>
      <c r="AA76" s="2">
        <v>46862</v>
      </c>
      <c r="AB76" s="1" t="s">
        <v>30</v>
      </c>
    </row>
    <row r="77" spans="1:28" x14ac:dyDescent="0.35">
      <c r="A77" s="52" t="s">
        <v>104</v>
      </c>
      <c r="B77" s="52" t="s">
        <v>141</v>
      </c>
      <c r="C77" s="52" t="s">
        <v>24</v>
      </c>
      <c r="D77" s="53">
        <v>810001130</v>
      </c>
      <c r="E77" s="52" t="s">
        <v>142</v>
      </c>
      <c r="F77" s="52" t="s">
        <v>178</v>
      </c>
      <c r="G77" s="2">
        <v>46198</v>
      </c>
      <c r="H77" s="52" t="s">
        <v>27</v>
      </c>
      <c r="I77" s="51" t="s">
        <v>28</v>
      </c>
      <c r="J77" s="53">
        <v>38089390</v>
      </c>
      <c r="K77" s="53">
        <v>1000023554</v>
      </c>
      <c r="L77" s="53">
        <v>11208296</v>
      </c>
      <c r="M77" s="53">
        <v>801163859</v>
      </c>
      <c r="N77" s="53">
        <v>901384169</v>
      </c>
      <c r="O77" s="78">
        <v>400</v>
      </c>
      <c r="P77" s="78">
        <v>400</v>
      </c>
      <c r="Q77" s="84">
        <f t="shared" si="4"/>
        <v>4500</v>
      </c>
      <c r="R77" s="79">
        <v>1800000</v>
      </c>
      <c r="S77" s="79">
        <v>324000</v>
      </c>
      <c r="T77" s="79">
        <v>2124000</v>
      </c>
      <c r="U77" s="1" t="s">
        <v>39</v>
      </c>
      <c r="V77" s="53">
        <v>9475</v>
      </c>
      <c r="W77" s="1" t="s">
        <v>195</v>
      </c>
      <c r="X77" s="1" t="s">
        <v>30</v>
      </c>
      <c r="Y77" s="1" t="s">
        <v>196</v>
      </c>
      <c r="Z77" s="2">
        <v>46197</v>
      </c>
      <c r="AA77" s="2">
        <v>46927</v>
      </c>
      <c r="AB77" s="1" t="s">
        <v>30</v>
      </c>
    </row>
    <row r="78" spans="1:28" x14ac:dyDescent="0.35">
      <c r="A78" s="52" t="s">
        <v>104</v>
      </c>
      <c r="B78" s="52" t="s">
        <v>141</v>
      </c>
      <c r="C78" s="52" t="s">
        <v>24</v>
      </c>
      <c r="D78" s="53">
        <v>810001130</v>
      </c>
      <c r="E78" s="52" t="s">
        <v>142</v>
      </c>
      <c r="F78" s="52" t="s">
        <v>178</v>
      </c>
      <c r="G78" s="2">
        <v>46198</v>
      </c>
      <c r="H78" s="52" t="s">
        <v>27</v>
      </c>
      <c r="I78" s="51" t="s">
        <v>28</v>
      </c>
      <c r="J78" s="53">
        <v>38089390</v>
      </c>
      <c r="K78" s="53">
        <v>1000023554</v>
      </c>
      <c r="L78" s="53">
        <v>11208296</v>
      </c>
      <c r="M78" s="53">
        <v>801163859</v>
      </c>
      <c r="N78" s="53">
        <v>901384169</v>
      </c>
      <c r="O78" s="78">
        <v>400</v>
      </c>
      <c r="P78" s="78">
        <v>400</v>
      </c>
      <c r="Q78" s="84">
        <f t="shared" si="4"/>
        <v>4500</v>
      </c>
      <c r="R78" s="79">
        <v>1800000</v>
      </c>
      <c r="S78" s="79">
        <v>324000</v>
      </c>
      <c r="T78" s="79">
        <v>2124000</v>
      </c>
      <c r="U78" s="1" t="s">
        <v>39</v>
      </c>
      <c r="V78" s="53">
        <v>9475</v>
      </c>
      <c r="W78" s="1" t="s">
        <v>195</v>
      </c>
      <c r="X78" s="1" t="s">
        <v>30</v>
      </c>
      <c r="Y78" s="1" t="s">
        <v>197</v>
      </c>
      <c r="Z78" s="2">
        <v>46197</v>
      </c>
      <c r="AA78" s="2">
        <v>46927</v>
      </c>
      <c r="AB78" s="1" t="s">
        <v>30</v>
      </c>
    </row>
    <row r="79" spans="1:28" x14ac:dyDescent="0.35">
      <c r="A79" s="52" t="s">
        <v>104</v>
      </c>
      <c r="B79" s="52" t="s">
        <v>141</v>
      </c>
      <c r="C79" s="52" t="s">
        <v>36</v>
      </c>
      <c r="D79" s="53">
        <v>810001548</v>
      </c>
      <c r="E79" s="52" t="s">
        <v>37</v>
      </c>
      <c r="F79" s="52" t="s">
        <v>179</v>
      </c>
      <c r="G79" s="2">
        <v>46198</v>
      </c>
      <c r="H79" s="52" t="s">
        <v>27</v>
      </c>
      <c r="I79" s="51" t="s">
        <v>28</v>
      </c>
      <c r="J79" s="53">
        <v>38089290</v>
      </c>
      <c r="K79" s="53">
        <v>1000023286</v>
      </c>
      <c r="L79" s="53">
        <v>11208297</v>
      </c>
      <c r="M79" s="53">
        <v>801163945</v>
      </c>
      <c r="N79" s="53">
        <v>901384332</v>
      </c>
      <c r="O79" s="78">
        <v>1850</v>
      </c>
      <c r="P79" s="78">
        <v>1850</v>
      </c>
      <c r="Q79" s="84">
        <f t="shared" si="4"/>
        <v>325</v>
      </c>
      <c r="R79" s="79">
        <v>601250</v>
      </c>
      <c r="S79" s="79">
        <v>108225</v>
      </c>
      <c r="T79" s="79">
        <v>709475</v>
      </c>
      <c r="U79" s="1" t="s">
        <v>39</v>
      </c>
      <c r="V79" s="53">
        <v>9476</v>
      </c>
      <c r="W79" s="1" t="s">
        <v>198</v>
      </c>
      <c r="X79" s="1" t="s">
        <v>30</v>
      </c>
      <c r="Y79" s="1" t="s">
        <v>41</v>
      </c>
      <c r="Z79" s="2">
        <v>46057</v>
      </c>
      <c r="AA79" s="2">
        <v>46786</v>
      </c>
      <c r="AB79" s="1" t="s">
        <v>30</v>
      </c>
    </row>
    <row r="80" spans="1:28" x14ac:dyDescent="0.35">
      <c r="A80" s="52" t="s">
        <v>104</v>
      </c>
      <c r="B80" s="52" t="s">
        <v>141</v>
      </c>
      <c r="C80" s="52" t="s">
        <v>36</v>
      </c>
      <c r="D80" s="53">
        <v>810001548</v>
      </c>
      <c r="E80" s="52" t="s">
        <v>37</v>
      </c>
      <c r="F80" s="52" t="s">
        <v>179</v>
      </c>
      <c r="G80" s="2">
        <v>46198</v>
      </c>
      <c r="H80" s="52" t="s">
        <v>27</v>
      </c>
      <c r="I80" s="51" t="s">
        <v>28</v>
      </c>
      <c r="J80" s="53">
        <v>38089290</v>
      </c>
      <c r="K80" s="53">
        <v>1000023286</v>
      </c>
      <c r="L80" s="53">
        <v>11208297</v>
      </c>
      <c r="M80" s="53">
        <v>801163945</v>
      </c>
      <c r="N80" s="53">
        <v>901384332</v>
      </c>
      <c r="O80" s="78">
        <v>1500</v>
      </c>
      <c r="P80" s="78">
        <v>1500</v>
      </c>
      <c r="Q80" s="84">
        <f t="shared" si="4"/>
        <v>325</v>
      </c>
      <c r="R80" s="79">
        <v>487500</v>
      </c>
      <c r="S80" s="79">
        <v>87750</v>
      </c>
      <c r="T80" s="79">
        <v>575250</v>
      </c>
      <c r="U80" s="1" t="s">
        <v>39</v>
      </c>
      <c r="V80" s="53">
        <v>9476</v>
      </c>
      <c r="W80" s="1" t="s">
        <v>198</v>
      </c>
      <c r="X80" s="1" t="s">
        <v>30</v>
      </c>
      <c r="Y80" s="1" t="s">
        <v>42</v>
      </c>
      <c r="Z80" s="2">
        <v>46069</v>
      </c>
      <c r="AA80" s="2">
        <v>46798</v>
      </c>
      <c r="AB80" s="1" t="s">
        <v>30</v>
      </c>
    </row>
    <row r="81" spans="1:28" x14ac:dyDescent="0.35">
      <c r="A81" s="52" t="s">
        <v>104</v>
      </c>
      <c r="B81" s="52" t="s">
        <v>141</v>
      </c>
      <c r="C81" s="52" t="s">
        <v>36</v>
      </c>
      <c r="D81" s="53">
        <v>810001548</v>
      </c>
      <c r="E81" s="52" t="s">
        <v>37</v>
      </c>
      <c r="F81" s="52" t="s">
        <v>179</v>
      </c>
      <c r="G81" s="2">
        <v>46198</v>
      </c>
      <c r="H81" s="52" t="s">
        <v>27</v>
      </c>
      <c r="I81" s="51" t="s">
        <v>28</v>
      </c>
      <c r="J81" s="53">
        <v>38089290</v>
      </c>
      <c r="K81" s="53">
        <v>1000023286</v>
      </c>
      <c r="L81" s="53">
        <v>11208297</v>
      </c>
      <c r="M81" s="53">
        <v>801163945</v>
      </c>
      <c r="N81" s="53">
        <v>901384332</v>
      </c>
      <c r="O81" s="78">
        <v>1850</v>
      </c>
      <c r="P81" s="78">
        <v>1850</v>
      </c>
      <c r="Q81" s="84">
        <f t="shared" si="4"/>
        <v>325</v>
      </c>
      <c r="R81" s="79">
        <v>601250</v>
      </c>
      <c r="S81" s="79">
        <v>108225</v>
      </c>
      <c r="T81" s="79">
        <v>709475</v>
      </c>
      <c r="U81" s="1" t="s">
        <v>39</v>
      </c>
      <c r="V81" s="53">
        <v>9476</v>
      </c>
      <c r="W81" s="1" t="s">
        <v>198</v>
      </c>
      <c r="X81" s="1" t="s">
        <v>30</v>
      </c>
      <c r="Y81" s="1" t="s">
        <v>199</v>
      </c>
      <c r="Z81" s="2">
        <v>46115</v>
      </c>
      <c r="AA81" s="2">
        <v>46845</v>
      </c>
      <c r="AB81" s="1" t="s">
        <v>30</v>
      </c>
    </row>
    <row r="82" spans="1:28" x14ac:dyDescent="0.35">
      <c r="A82" s="52" t="s">
        <v>104</v>
      </c>
      <c r="B82" s="52" t="s">
        <v>141</v>
      </c>
      <c r="C82" s="52" t="s">
        <v>64</v>
      </c>
      <c r="D82" s="53">
        <v>810001201</v>
      </c>
      <c r="E82" s="52" t="s">
        <v>176</v>
      </c>
      <c r="F82" s="52" t="s">
        <v>180</v>
      </c>
      <c r="G82" s="2">
        <v>46199</v>
      </c>
      <c r="H82" s="52" t="s">
        <v>27</v>
      </c>
      <c r="I82" s="51" t="s">
        <v>28</v>
      </c>
      <c r="J82" s="53">
        <v>38089390</v>
      </c>
      <c r="K82" s="53">
        <v>1000023442</v>
      </c>
      <c r="L82" s="53">
        <v>11208778</v>
      </c>
      <c r="M82" s="53">
        <v>801164599</v>
      </c>
      <c r="N82" s="53">
        <v>901385341</v>
      </c>
      <c r="O82" s="78">
        <f>0</f>
        <v>0</v>
      </c>
      <c r="P82" s="78">
        <f>0</f>
        <v>0</v>
      </c>
      <c r="Q82" s="78">
        <f>0</f>
        <v>0</v>
      </c>
      <c r="R82" s="78">
        <f>0</f>
        <v>0</v>
      </c>
      <c r="S82" s="78">
        <f>0</f>
        <v>0</v>
      </c>
      <c r="T82" s="78">
        <f>0</f>
        <v>0</v>
      </c>
      <c r="U82" s="1" t="s">
        <v>39</v>
      </c>
      <c r="V82" s="53">
        <v>9482</v>
      </c>
      <c r="W82" s="1" t="s">
        <v>200</v>
      </c>
      <c r="X82" s="1" t="s">
        <v>160</v>
      </c>
      <c r="Y82" s="1" t="s">
        <v>194</v>
      </c>
      <c r="Z82" s="2">
        <v>46132</v>
      </c>
      <c r="AA82" s="2">
        <v>46862</v>
      </c>
      <c r="AB82" s="1" t="s">
        <v>30</v>
      </c>
    </row>
    <row r="83" spans="1:28" x14ac:dyDescent="0.35">
      <c r="A83" s="52" t="s">
        <v>104</v>
      </c>
      <c r="B83" s="52" t="s">
        <v>141</v>
      </c>
      <c r="C83" s="52" t="s">
        <v>64</v>
      </c>
      <c r="D83" s="53">
        <v>810001201</v>
      </c>
      <c r="E83" s="52" t="s">
        <v>176</v>
      </c>
      <c r="F83" s="52" t="s">
        <v>180</v>
      </c>
      <c r="G83" s="2">
        <v>46199</v>
      </c>
      <c r="H83" s="52" t="s">
        <v>27</v>
      </c>
      <c r="I83" s="51" t="s">
        <v>28</v>
      </c>
      <c r="J83" s="53">
        <v>38089390</v>
      </c>
      <c r="K83" s="53">
        <v>1000023442</v>
      </c>
      <c r="L83" s="53">
        <v>11208778</v>
      </c>
      <c r="M83" s="53">
        <v>801164599</v>
      </c>
      <c r="N83" s="53">
        <v>901385341</v>
      </c>
      <c r="O83" s="78">
        <f>0</f>
        <v>0</v>
      </c>
      <c r="P83" s="78">
        <f>0</f>
        <v>0</v>
      </c>
      <c r="Q83" s="78">
        <f>0</f>
        <v>0</v>
      </c>
      <c r="R83" s="78">
        <f>0</f>
        <v>0</v>
      </c>
      <c r="S83" s="78">
        <f>0</f>
        <v>0</v>
      </c>
      <c r="T83" s="78">
        <f>0</f>
        <v>0</v>
      </c>
      <c r="U83" s="1" t="s">
        <v>39</v>
      </c>
      <c r="V83" s="53">
        <v>9482</v>
      </c>
      <c r="W83" s="1" t="s">
        <v>200</v>
      </c>
      <c r="X83" s="1" t="s">
        <v>160</v>
      </c>
      <c r="Y83" s="1" t="s">
        <v>201</v>
      </c>
      <c r="Z83" s="2">
        <v>46137</v>
      </c>
      <c r="AA83" s="2">
        <v>46867</v>
      </c>
      <c r="AB83" s="1" t="s">
        <v>30</v>
      </c>
    </row>
    <row r="84" spans="1:28" x14ac:dyDescent="0.35">
      <c r="A84" s="52" t="s">
        <v>104</v>
      </c>
      <c r="B84" s="52" t="s">
        <v>141</v>
      </c>
      <c r="C84" s="52" t="s">
        <v>64</v>
      </c>
      <c r="D84" s="53">
        <v>810001201</v>
      </c>
      <c r="E84" s="52" t="s">
        <v>176</v>
      </c>
      <c r="F84" s="52" t="s">
        <v>180</v>
      </c>
      <c r="G84" s="2">
        <v>46199</v>
      </c>
      <c r="H84" s="52" t="s">
        <v>27</v>
      </c>
      <c r="I84" s="51" t="s">
        <v>28</v>
      </c>
      <c r="J84" s="53">
        <v>38089390</v>
      </c>
      <c r="K84" s="53">
        <v>1000023442</v>
      </c>
      <c r="L84" s="53">
        <v>11208778</v>
      </c>
      <c r="M84" s="53">
        <v>801164599</v>
      </c>
      <c r="N84" s="53">
        <v>901385341</v>
      </c>
      <c r="O84" s="78">
        <f>0</f>
        <v>0</v>
      </c>
      <c r="P84" s="78">
        <f>0</f>
        <v>0</v>
      </c>
      <c r="Q84" s="78">
        <f>0</f>
        <v>0</v>
      </c>
      <c r="R84" s="78">
        <f>0</f>
        <v>0</v>
      </c>
      <c r="S84" s="78">
        <f>0</f>
        <v>0</v>
      </c>
      <c r="T84" s="78">
        <f>0</f>
        <v>0</v>
      </c>
      <c r="U84" s="1" t="s">
        <v>39</v>
      </c>
      <c r="V84" s="53">
        <v>9482</v>
      </c>
      <c r="W84" s="1" t="s">
        <v>200</v>
      </c>
      <c r="X84" s="1" t="s">
        <v>160</v>
      </c>
      <c r="Y84" s="1" t="s">
        <v>202</v>
      </c>
      <c r="Z84" s="2">
        <v>46138</v>
      </c>
      <c r="AA84" s="2">
        <v>46868</v>
      </c>
      <c r="AB84" s="1" t="s">
        <v>30</v>
      </c>
    </row>
    <row r="85" spans="1:28" x14ac:dyDescent="0.35">
      <c r="A85" s="52" t="s">
        <v>104</v>
      </c>
      <c r="B85" s="52" t="s">
        <v>141</v>
      </c>
      <c r="C85" s="52" t="s">
        <v>64</v>
      </c>
      <c r="D85" s="53">
        <v>810001201</v>
      </c>
      <c r="E85" s="52" t="s">
        <v>176</v>
      </c>
      <c r="F85" s="52" t="s">
        <v>180</v>
      </c>
      <c r="G85" s="2">
        <v>46199</v>
      </c>
      <c r="H85" s="52" t="s">
        <v>27</v>
      </c>
      <c r="I85" s="51" t="s">
        <v>28</v>
      </c>
      <c r="J85" s="53">
        <v>38089390</v>
      </c>
      <c r="K85" s="53">
        <v>1000023442</v>
      </c>
      <c r="L85" s="53">
        <v>11208778</v>
      </c>
      <c r="M85" s="53">
        <v>801164599</v>
      </c>
      <c r="N85" s="53">
        <v>901385341</v>
      </c>
      <c r="O85" s="78">
        <f>0</f>
        <v>0</v>
      </c>
      <c r="P85" s="78">
        <f>0</f>
        <v>0</v>
      </c>
      <c r="Q85" s="78">
        <f>0</f>
        <v>0</v>
      </c>
      <c r="R85" s="78">
        <f>0</f>
        <v>0</v>
      </c>
      <c r="S85" s="78">
        <f>0</f>
        <v>0</v>
      </c>
      <c r="T85" s="78">
        <f>0</f>
        <v>0</v>
      </c>
      <c r="U85" s="1" t="s">
        <v>39</v>
      </c>
      <c r="V85" s="53">
        <v>9482</v>
      </c>
      <c r="W85" s="1" t="s">
        <v>200</v>
      </c>
      <c r="X85" s="1" t="s">
        <v>160</v>
      </c>
      <c r="Y85" s="1" t="s">
        <v>203</v>
      </c>
      <c r="Z85" s="2">
        <v>46140</v>
      </c>
      <c r="AA85" s="2">
        <v>46870</v>
      </c>
      <c r="AB85" s="1" t="s">
        <v>30</v>
      </c>
    </row>
    <row r="86" spans="1:28" x14ac:dyDescent="0.35">
      <c r="A86" s="52" t="s">
        <v>104</v>
      </c>
      <c r="B86" s="52" t="s">
        <v>141</v>
      </c>
      <c r="C86" s="52" t="s">
        <v>64</v>
      </c>
      <c r="D86" s="53">
        <v>810001201</v>
      </c>
      <c r="E86" s="52" t="s">
        <v>176</v>
      </c>
      <c r="F86" s="52" t="s">
        <v>180</v>
      </c>
      <c r="G86" s="2">
        <v>46199</v>
      </c>
      <c r="H86" s="52" t="s">
        <v>27</v>
      </c>
      <c r="I86" s="51" t="s">
        <v>28</v>
      </c>
      <c r="J86" s="53">
        <v>38089390</v>
      </c>
      <c r="K86" s="53">
        <v>1000023442</v>
      </c>
      <c r="L86" s="53">
        <v>11208778</v>
      </c>
      <c r="M86" s="53">
        <v>801164599</v>
      </c>
      <c r="N86" s="53">
        <v>901385341</v>
      </c>
      <c r="O86" s="78">
        <f>0</f>
        <v>0</v>
      </c>
      <c r="P86" s="78">
        <f>0</f>
        <v>0</v>
      </c>
      <c r="Q86" s="78">
        <f>0</f>
        <v>0</v>
      </c>
      <c r="R86" s="78">
        <f>0</f>
        <v>0</v>
      </c>
      <c r="S86" s="78">
        <f>0</f>
        <v>0</v>
      </c>
      <c r="T86" s="78">
        <f>0</f>
        <v>0</v>
      </c>
      <c r="U86" s="1" t="s">
        <v>39</v>
      </c>
      <c r="V86" s="53">
        <v>9482</v>
      </c>
      <c r="W86" s="1" t="s">
        <v>200</v>
      </c>
      <c r="X86" s="1" t="s">
        <v>160</v>
      </c>
      <c r="Y86" s="1" t="s">
        <v>204</v>
      </c>
      <c r="Z86" s="2">
        <v>46141</v>
      </c>
      <c r="AA86" s="2">
        <v>46871</v>
      </c>
      <c r="AB86" s="1" t="s">
        <v>30</v>
      </c>
    </row>
    <row r="87" spans="1:28" x14ac:dyDescent="0.35">
      <c r="A87" s="52" t="s">
        <v>104</v>
      </c>
      <c r="B87" s="52" t="s">
        <v>141</v>
      </c>
      <c r="C87" s="52" t="s">
        <v>64</v>
      </c>
      <c r="D87" s="53">
        <v>810001201</v>
      </c>
      <c r="E87" s="52" t="s">
        <v>176</v>
      </c>
      <c r="F87" s="52" t="s">
        <v>180</v>
      </c>
      <c r="G87" s="2">
        <v>46199</v>
      </c>
      <c r="H87" s="52" t="s">
        <v>27</v>
      </c>
      <c r="I87" s="51" t="s">
        <v>28</v>
      </c>
      <c r="J87" s="53">
        <v>38089390</v>
      </c>
      <c r="K87" s="53">
        <v>1000023442</v>
      </c>
      <c r="L87" s="53">
        <v>11208778</v>
      </c>
      <c r="M87" s="53">
        <v>801164599</v>
      </c>
      <c r="N87" s="53">
        <v>901385341</v>
      </c>
      <c r="O87" s="78">
        <f>0</f>
        <v>0</v>
      </c>
      <c r="P87" s="78">
        <f>0</f>
        <v>0</v>
      </c>
      <c r="Q87" s="78">
        <f>0</f>
        <v>0</v>
      </c>
      <c r="R87" s="78">
        <f>0</f>
        <v>0</v>
      </c>
      <c r="S87" s="78">
        <f>0</f>
        <v>0</v>
      </c>
      <c r="T87" s="78">
        <f>0</f>
        <v>0</v>
      </c>
      <c r="U87" s="1" t="s">
        <v>39</v>
      </c>
      <c r="V87" s="53">
        <v>9482</v>
      </c>
      <c r="W87" s="1" t="s">
        <v>200</v>
      </c>
      <c r="X87" s="1" t="s">
        <v>160</v>
      </c>
      <c r="Y87" s="1" t="s">
        <v>205</v>
      </c>
      <c r="Z87" s="2">
        <v>46142</v>
      </c>
      <c r="AA87" s="2">
        <v>46872</v>
      </c>
      <c r="AB87" s="1" t="s">
        <v>30</v>
      </c>
    </row>
    <row r="88" spans="1:28" x14ac:dyDescent="0.35">
      <c r="A88" s="52" t="s">
        <v>104</v>
      </c>
      <c r="B88" s="52" t="s">
        <v>141</v>
      </c>
      <c r="C88" s="52" t="s">
        <v>64</v>
      </c>
      <c r="D88" s="53">
        <v>810001201</v>
      </c>
      <c r="E88" s="52" t="s">
        <v>176</v>
      </c>
      <c r="F88" s="52" t="s">
        <v>180</v>
      </c>
      <c r="G88" s="2">
        <v>46199</v>
      </c>
      <c r="H88" s="52" t="s">
        <v>27</v>
      </c>
      <c r="I88" s="51" t="s">
        <v>28</v>
      </c>
      <c r="J88" s="53">
        <v>38089390</v>
      </c>
      <c r="K88" s="53">
        <v>1000023442</v>
      </c>
      <c r="L88" s="53">
        <v>11208778</v>
      </c>
      <c r="M88" s="53">
        <v>801164599</v>
      </c>
      <c r="N88" s="53">
        <v>901385341</v>
      </c>
      <c r="O88" s="78">
        <f>0</f>
        <v>0</v>
      </c>
      <c r="P88" s="78">
        <f>0</f>
        <v>0</v>
      </c>
      <c r="Q88" s="78">
        <f>0</f>
        <v>0</v>
      </c>
      <c r="R88" s="78">
        <f>0</f>
        <v>0</v>
      </c>
      <c r="S88" s="78">
        <f>0</f>
        <v>0</v>
      </c>
      <c r="T88" s="78">
        <f>0</f>
        <v>0</v>
      </c>
      <c r="U88" s="1" t="s">
        <v>39</v>
      </c>
      <c r="V88" s="53">
        <v>9482</v>
      </c>
      <c r="W88" s="1" t="s">
        <v>200</v>
      </c>
      <c r="X88" s="1" t="s">
        <v>160</v>
      </c>
      <c r="Y88" s="1" t="s">
        <v>206</v>
      </c>
      <c r="Z88" s="2">
        <v>46150</v>
      </c>
      <c r="AA88" s="2">
        <v>46880</v>
      </c>
      <c r="AB88" s="1" t="s">
        <v>30</v>
      </c>
    </row>
    <row r="89" spans="1:28" x14ac:dyDescent="0.35">
      <c r="A89" s="52" t="s">
        <v>104</v>
      </c>
      <c r="B89" s="52" t="s">
        <v>141</v>
      </c>
      <c r="C89" s="52" t="s">
        <v>64</v>
      </c>
      <c r="D89" s="53">
        <v>810001201</v>
      </c>
      <c r="E89" s="52" t="s">
        <v>176</v>
      </c>
      <c r="F89" s="52" t="s">
        <v>180</v>
      </c>
      <c r="G89" s="2">
        <v>46199</v>
      </c>
      <c r="H89" s="52" t="s">
        <v>27</v>
      </c>
      <c r="I89" s="51" t="s">
        <v>28</v>
      </c>
      <c r="J89" s="53">
        <v>38089390</v>
      </c>
      <c r="K89" s="53">
        <v>1000023442</v>
      </c>
      <c r="L89" s="53">
        <v>11208778</v>
      </c>
      <c r="M89" s="53">
        <v>801164599</v>
      </c>
      <c r="N89" s="53">
        <v>901385341</v>
      </c>
      <c r="O89" s="78">
        <f>0</f>
        <v>0</v>
      </c>
      <c r="P89" s="78">
        <f>0</f>
        <v>0</v>
      </c>
      <c r="Q89" s="78">
        <f>0</f>
        <v>0</v>
      </c>
      <c r="R89" s="78">
        <f>0</f>
        <v>0</v>
      </c>
      <c r="S89" s="78">
        <f>0</f>
        <v>0</v>
      </c>
      <c r="T89" s="78">
        <f>0</f>
        <v>0</v>
      </c>
      <c r="U89" s="1" t="s">
        <v>39</v>
      </c>
      <c r="V89" s="53">
        <v>9482</v>
      </c>
      <c r="W89" s="1" t="s">
        <v>200</v>
      </c>
      <c r="X89" s="1" t="s">
        <v>160</v>
      </c>
      <c r="Y89" s="1" t="s">
        <v>207</v>
      </c>
      <c r="Z89" s="2">
        <v>46160</v>
      </c>
      <c r="AA89" s="2">
        <v>46890</v>
      </c>
      <c r="AB89" s="1" t="s">
        <v>30</v>
      </c>
    </row>
    <row r="90" spans="1:28" x14ac:dyDescent="0.35">
      <c r="A90" s="52" t="s">
        <v>104</v>
      </c>
      <c r="B90" s="52" t="s">
        <v>141</v>
      </c>
      <c r="C90" s="52" t="s">
        <v>64</v>
      </c>
      <c r="D90" s="53">
        <v>810001201</v>
      </c>
      <c r="E90" s="52" t="s">
        <v>176</v>
      </c>
      <c r="F90" s="52" t="s">
        <v>180</v>
      </c>
      <c r="G90" s="2">
        <v>46199</v>
      </c>
      <c r="H90" s="52" t="s">
        <v>27</v>
      </c>
      <c r="I90" s="51" t="s">
        <v>28</v>
      </c>
      <c r="J90" s="53">
        <v>38089390</v>
      </c>
      <c r="K90" s="53">
        <v>1000023442</v>
      </c>
      <c r="L90" s="53">
        <v>11208778</v>
      </c>
      <c r="M90" s="53">
        <v>801164599</v>
      </c>
      <c r="N90" s="53">
        <v>901385341</v>
      </c>
      <c r="O90" s="78">
        <f>0</f>
        <v>0</v>
      </c>
      <c r="P90" s="78">
        <f>0</f>
        <v>0</v>
      </c>
      <c r="Q90" s="78">
        <f>0</f>
        <v>0</v>
      </c>
      <c r="R90" s="78">
        <f>0</f>
        <v>0</v>
      </c>
      <c r="S90" s="78">
        <f>0</f>
        <v>0</v>
      </c>
      <c r="T90" s="78">
        <f>0</f>
        <v>0</v>
      </c>
      <c r="U90" s="1" t="s">
        <v>39</v>
      </c>
      <c r="V90" s="53">
        <v>9482</v>
      </c>
      <c r="W90" s="1" t="s">
        <v>200</v>
      </c>
      <c r="X90" s="1" t="s">
        <v>160</v>
      </c>
      <c r="Y90" s="1" t="s">
        <v>208</v>
      </c>
      <c r="Z90" s="2">
        <v>46161</v>
      </c>
      <c r="AA90" s="2">
        <v>46891</v>
      </c>
      <c r="AB90" s="1" t="s">
        <v>30</v>
      </c>
    </row>
    <row r="91" spans="1:28" x14ac:dyDescent="0.35">
      <c r="A91" s="52" t="s">
        <v>104</v>
      </c>
      <c r="B91" s="52" t="s">
        <v>141</v>
      </c>
      <c r="C91" s="52" t="s">
        <v>64</v>
      </c>
      <c r="D91" s="53">
        <v>810001201</v>
      </c>
      <c r="E91" s="52" t="s">
        <v>176</v>
      </c>
      <c r="F91" s="52" t="s">
        <v>181</v>
      </c>
      <c r="G91" s="2">
        <v>46199</v>
      </c>
      <c r="H91" s="52" t="s">
        <v>27</v>
      </c>
      <c r="I91" s="51" t="s">
        <v>28</v>
      </c>
      <c r="J91" s="53">
        <v>38089390</v>
      </c>
      <c r="K91" s="53">
        <v>1000023442</v>
      </c>
      <c r="L91" s="53">
        <v>11208778</v>
      </c>
      <c r="M91" s="53">
        <v>801164599</v>
      </c>
      <c r="N91" s="53">
        <v>901385421</v>
      </c>
      <c r="O91" s="78">
        <v>1040</v>
      </c>
      <c r="P91" s="78">
        <v>1040</v>
      </c>
      <c r="Q91" s="84">
        <f t="shared" si="4"/>
        <v>2100</v>
      </c>
      <c r="R91" s="79">
        <v>2184000</v>
      </c>
      <c r="S91" s="79">
        <v>393120</v>
      </c>
      <c r="T91" s="79">
        <v>2577120</v>
      </c>
      <c r="U91" s="1" t="s">
        <v>39</v>
      </c>
      <c r="V91" s="53">
        <v>9482</v>
      </c>
      <c r="W91" s="1" t="s">
        <v>200</v>
      </c>
      <c r="X91" s="1" t="s">
        <v>30</v>
      </c>
      <c r="Y91" s="1" t="s">
        <v>194</v>
      </c>
      <c r="Z91" s="2">
        <v>46132</v>
      </c>
      <c r="AA91" s="2">
        <v>46862</v>
      </c>
      <c r="AB91" s="1" t="s">
        <v>30</v>
      </c>
    </row>
    <row r="92" spans="1:28" x14ac:dyDescent="0.35">
      <c r="A92" s="52" t="s">
        <v>104</v>
      </c>
      <c r="B92" s="52" t="s">
        <v>141</v>
      </c>
      <c r="C92" s="52" t="s">
        <v>64</v>
      </c>
      <c r="D92" s="53">
        <v>810001201</v>
      </c>
      <c r="E92" s="52" t="s">
        <v>176</v>
      </c>
      <c r="F92" s="52" t="s">
        <v>181</v>
      </c>
      <c r="G92" s="2">
        <v>46199</v>
      </c>
      <c r="H92" s="52" t="s">
        <v>27</v>
      </c>
      <c r="I92" s="51" t="s">
        <v>28</v>
      </c>
      <c r="J92" s="53">
        <v>38089390</v>
      </c>
      <c r="K92" s="53">
        <v>1000023442</v>
      </c>
      <c r="L92" s="53">
        <v>11208778</v>
      </c>
      <c r="M92" s="53">
        <v>801164599</v>
      </c>
      <c r="N92" s="53">
        <v>901385421</v>
      </c>
      <c r="O92" s="78">
        <v>1180</v>
      </c>
      <c r="P92" s="78">
        <v>1180</v>
      </c>
      <c r="Q92" s="84">
        <f t="shared" si="4"/>
        <v>2100</v>
      </c>
      <c r="R92" s="79">
        <v>2478000</v>
      </c>
      <c r="S92" s="79">
        <v>446040</v>
      </c>
      <c r="T92" s="79">
        <v>2924040</v>
      </c>
      <c r="U92" s="1" t="s">
        <v>39</v>
      </c>
      <c r="V92" s="53">
        <v>9482</v>
      </c>
      <c r="W92" s="1" t="s">
        <v>200</v>
      </c>
      <c r="X92" s="1" t="s">
        <v>30</v>
      </c>
      <c r="Y92" s="1" t="s">
        <v>201</v>
      </c>
      <c r="Z92" s="2">
        <v>46137</v>
      </c>
      <c r="AA92" s="2">
        <v>46867</v>
      </c>
      <c r="AB92" s="1" t="s">
        <v>30</v>
      </c>
    </row>
    <row r="93" spans="1:28" x14ac:dyDescent="0.35">
      <c r="A93" s="52" t="s">
        <v>104</v>
      </c>
      <c r="B93" s="52" t="s">
        <v>141</v>
      </c>
      <c r="C93" s="52" t="s">
        <v>64</v>
      </c>
      <c r="D93" s="53">
        <v>810001201</v>
      </c>
      <c r="E93" s="52" t="s">
        <v>176</v>
      </c>
      <c r="F93" s="52" t="s">
        <v>181</v>
      </c>
      <c r="G93" s="2">
        <v>46199</v>
      </c>
      <c r="H93" s="52" t="s">
        <v>27</v>
      </c>
      <c r="I93" s="51" t="s">
        <v>28</v>
      </c>
      <c r="J93" s="53">
        <v>38089390</v>
      </c>
      <c r="K93" s="53">
        <v>1000023442</v>
      </c>
      <c r="L93" s="53">
        <v>11208778</v>
      </c>
      <c r="M93" s="53">
        <v>801164599</v>
      </c>
      <c r="N93" s="53">
        <v>901385421</v>
      </c>
      <c r="O93" s="78">
        <v>1180</v>
      </c>
      <c r="P93" s="78">
        <v>1180</v>
      </c>
      <c r="Q93" s="84">
        <f t="shared" si="4"/>
        <v>2100</v>
      </c>
      <c r="R93" s="79">
        <v>2478000</v>
      </c>
      <c r="S93" s="79">
        <v>446040</v>
      </c>
      <c r="T93" s="79">
        <v>2924040</v>
      </c>
      <c r="U93" s="1" t="s">
        <v>39</v>
      </c>
      <c r="V93" s="53">
        <v>9482</v>
      </c>
      <c r="W93" s="1" t="s">
        <v>200</v>
      </c>
      <c r="X93" s="1" t="s">
        <v>30</v>
      </c>
      <c r="Y93" s="1" t="s">
        <v>202</v>
      </c>
      <c r="Z93" s="2">
        <v>46138</v>
      </c>
      <c r="AA93" s="2">
        <v>46868</v>
      </c>
      <c r="AB93" s="1" t="s">
        <v>30</v>
      </c>
    </row>
    <row r="94" spans="1:28" x14ac:dyDescent="0.35">
      <c r="A94" s="52" t="s">
        <v>104</v>
      </c>
      <c r="B94" s="52" t="s">
        <v>141</v>
      </c>
      <c r="C94" s="52" t="s">
        <v>64</v>
      </c>
      <c r="D94" s="53">
        <v>810001201</v>
      </c>
      <c r="E94" s="52" t="s">
        <v>176</v>
      </c>
      <c r="F94" s="52" t="s">
        <v>181</v>
      </c>
      <c r="G94" s="2">
        <v>46199</v>
      </c>
      <c r="H94" s="52" t="s">
        <v>27</v>
      </c>
      <c r="I94" s="51" t="s">
        <v>28</v>
      </c>
      <c r="J94" s="53">
        <v>38089390</v>
      </c>
      <c r="K94" s="53">
        <v>1000023442</v>
      </c>
      <c r="L94" s="53">
        <v>11208778</v>
      </c>
      <c r="M94" s="53">
        <v>801164599</v>
      </c>
      <c r="N94" s="53">
        <v>901385421</v>
      </c>
      <c r="O94" s="78">
        <v>1180</v>
      </c>
      <c r="P94" s="78">
        <v>1180</v>
      </c>
      <c r="Q94" s="84">
        <f t="shared" si="4"/>
        <v>2100</v>
      </c>
      <c r="R94" s="79">
        <v>2478000</v>
      </c>
      <c r="S94" s="79">
        <v>446040</v>
      </c>
      <c r="T94" s="79">
        <v>2924040</v>
      </c>
      <c r="U94" s="1" t="s">
        <v>39</v>
      </c>
      <c r="V94" s="53">
        <v>9482</v>
      </c>
      <c r="W94" s="1" t="s">
        <v>200</v>
      </c>
      <c r="X94" s="1" t="s">
        <v>30</v>
      </c>
      <c r="Y94" s="1" t="s">
        <v>203</v>
      </c>
      <c r="Z94" s="2">
        <v>46140</v>
      </c>
      <c r="AA94" s="2">
        <v>46870</v>
      </c>
      <c r="AB94" s="1" t="s">
        <v>30</v>
      </c>
    </row>
    <row r="95" spans="1:28" x14ac:dyDescent="0.35">
      <c r="A95" s="52" t="s">
        <v>104</v>
      </c>
      <c r="B95" s="52" t="s">
        <v>141</v>
      </c>
      <c r="C95" s="52" t="s">
        <v>64</v>
      </c>
      <c r="D95" s="53">
        <v>810001201</v>
      </c>
      <c r="E95" s="52" t="s">
        <v>176</v>
      </c>
      <c r="F95" s="52" t="s">
        <v>181</v>
      </c>
      <c r="G95" s="2">
        <v>46199</v>
      </c>
      <c r="H95" s="52" t="s">
        <v>27</v>
      </c>
      <c r="I95" s="51" t="s">
        <v>28</v>
      </c>
      <c r="J95" s="53">
        <v>38089390</v>
      </c>
      <c r="K95" s="53">
        <v>1000023442</v>
      </c>
      <c r="L95" s="53">
        <v>11208778</v>
      </c>
      <c r="M95" s="53">
        <v>801164599</v>
      </c>
      <c r="N95" s="53">
        <v>901385421</v>
      </c>
      <c r="O95" s="78">
        <v>1180</v>
      </c>
      <c r="P95" s="78">
        <v>1180</v>
      </c>
      <c r="Q95" s="84">
        <f t="shared" si="4"/>
        <v>2100</v>
      </c>
      <c r="R95" s="79">
        <v>2478000</v>
      </c>
      <c r="S95" s="79">
        <v>446040</v>
      </c>
      <c r="T95" s="79">
        <v>2924040</v>
      </c>
      <c r="U95" s="1" t="s">
        <v>39</v>
      </c>
      <c r="V95" s="53">
        <v>9482</v>
      </c>
      <c r="W95" s="1" t="s">
        <v>200</v>
      </c>
      <c r="X95" s="1" t="s">
        <v>30</v>
      </c>
      <c r="Y95" s="1" t="s">
        <v>204</v>
      </c>
      <c r="Z95" s="2">
        <v>46141</v>
      </c>
      <c r="AA95" s="2">
        <v>46871</v>
      </c>
      <c r="AB95" s="1" t="s">
        <v>30</v>
      </c>
    </row>
    <row r="96" spans="1:28" x14ac:dyDescent="0.35">
      <c r="A96" s="52" t="s">
        <v>104</v>
      </c>
      <c r="B96" s="52" t="s">
        <v>141</v>
      </c>
      <c r="C96" s="52" t="s">
        <v>64</v>
      </c>
      <c r="D96" s="53">
        <v>810001201</v>
      </c>
      <c r="E96" s="52" t="s">
        <v>176</v>
      </c>
      <c r="F96" s="52" t="s">
        <v>181</v>
      </c>
      <c r="G96" s="2">
        <v>46199</v>
      </c>
      <c r="H96" s="52" t="s">
        <v>27</v>
      </c>
      <c r="I96" s="51" t="s">
        <v>28</v>
      </c>
      <c r="J96" s="53">
        <v>38089390</v>
      </c>
      <c r="K96" s="53">
        <v>1000023442</v>
      </c>
      <c r="L96" s="53">
        <v>11208778</v>
      </c>
      <c r="M96" s="53">
        <v>801164599</v>
      </c>
      <c r="N96" s="53">
        <v>901385421</v>
      </c>
      <c r="O96" s="78">
        <v>1180</v>
      </c>
      <c r="P96" s="78">
        <v>1180</v>
      </c>
      <c r="Q96" s="84">
        <f t="shared" si="4"/>
        <v>2100</v>
      </c>
      <c r="R96" s="79">
        <v>2478000</v>
      </c>
      <c r="S96" s="79">
        <v>446040</v>
      </c>
      <c r="T96" s="79">
        <v>2924040</v>
      </c>
      <c r="U96" s="1" t="s">
        <v>39</v>
      </c>
      <c r="V96" s="53">
        <v>9482</v>
      </c>
      <c r="W96" s="1" t="s">
        <v>200</v>
      </c>
      <c r="X96" s="1" t="s">
        <v>30</v>
      </c>
      <c r="Y96" s="1" t="s">
        <v>205</v>
      </c>
      <c r="Z96" s="2">
        <v>46142</v>
      </c>
      <c r="AA96" s="2">
        <v>46872</v>
      </c>
      <c r="AB96" s="1" t="s">
        <v>30</v>
      </c>
    </row>
    <row r="97" spans="1:28" x14ac:dyDescent="0.35">
      <c r="A97" s="52" t="s">
        <v>104</v>
      </c>
      <c r="B97" s="52" t="s">
        <v>141</v>
      </c>
      <c r="C97" s="52" t="s">
        <v>64</v>
      </c>
      <c r="D97" s="53">
        <v>810001201</v>
      </c>
      <c r="E97" s="52" t="s">
        <v>176</v>
      </c>
      <c r="F97" s="52" t="s">
        <v>181</v>
      </c>
      <c r="G97" s="2">
        <v>46199</v>
      </c>
      <c r="H97" s="52" t="s">
        <v>27</v>
      </c>
      <c r="I97" s="51" t="s">
        <v>28</v>
      </c>
      <c r="J97" s="53">
        <v>38089390</v>
      </c>
      <c r="K97" s="53">
        <v>1000023442</v>
      </c>
      <c r="L97" s="53">
        <v>11208778</v>
      </c>
      <c r="M97" s="53">
        <v>801164599</v>
      </c>
      <c r="N97" s="53">
        <v>901385421</v>
      </c>
      <c r="O97" s="78">
        <v>1180</v>
      </c>
      <c r="P97" s="78">
        <v>1180</v>
      </c>
      <c r="Q97" s="84">
        <f t="shared" si="4"/>
        <v>2100</v>
      </c>
      <c r="R97" s="79">
        <v>2478000</v>
      </c>
      <c r="S97" s="79">
        <v>446040</v>
      </c>
      <c r="T97" s="79">
        <v>2924040</v>
      </c>
      <c r="U97" s="1" t="s">
        <v>39</v>
      </c>
      <c r="V97" s="53">
        <v>9482</v>
      </c>
      <c r="W97" s="1" t="s">
        <v>200</v>
      </c>
      <c r="X97" s="1" t="s">
        <v>30</v>
      </c>
      <c r="Y97" s="1" t="s">
        <v>206</v>
      </c>
      <c r="Z97" s="2">
        <v>46150</v>
      </c>
      <c r="AA97" s="2">
        <v>46880</v>
      </c>
      <c r="AB97" s="1" t="s">
        <v>30</v>
      </c>
    </row>
    <row r="98" spans="1:28" x14ac:dyDescent="0.35">
      <c r="A98" s="52" t="s">
        <v>104</v>
      </c>
      <c r="B98" s="52" t="s">
        <v>141</v>
      </c>
      <c r="C98" s="52" t="s">
        <v>64</v>
      </c>
      <c r="D98" s="53">
        <v>810001201</v>
      </c>
      <c r="E98" s="52" t="s">
        <v>176</v>
      </c>
      <c r="F98" s="52" t="s">
        <v>181</v>
      </c>
      <c r="G98" s="2">
        <v>46199</v>
      </c>
      <c r="H98" s="52" t="s">
        <v>27</v>
      </c>
      <c r="I98" s="51" t="s">
        <v>28</v>
      </c>
      <c r="J98" s="53">
        <v>38089390</v>
      </c>
      <c r="K98" s="53">
        <v>1000023442</v>
      </c>
      <c r="L98" s="53">
        <v>11208778</v>
      </c>
      <c r="M98" s="53">
        <v>801164599</v>
      </c>
      <c r="N98" s="53">
        <v>901385421</v>
      </c>
      <c r="O98" s="78">
        <v>1180</v>
      </c>
      <c r="P98" s="78">
        <v>1180</v>
      </c>
      <c r="Q98" s="84">
        <f t="shared" si="4"/>
        <v>2100</v>
      </c>
      <c r="R98" s="79">
        <v>2478000</v>
      </c>
      <c r="S98" s="79">
        <v>446040</v>
      </c>
      <c r="T98" s="79">
        <v>2924040</v>
      </c>
      <c r="U98" s="1" t="s">
        <v>39</v>
      </c>
      <c r="V98" s="53">
        <v>9482</v>
      </c>
      <c r="W98" s="1" t="s">
        <v>200</v>
      </c>
      <c r="X98" s="1" t="s">
        <v>30</v>
      </c>
      <c r="Y98" s="1" t="s">
        <v>207</v>
      </c>
      <c r="Z98" s="2">
        <v>46160</v>
      </c>
      <c r="AA98" s="2">
        <v>46890</v>
      </c>
      <c r="AB98" s="1" t="s">
        <v>30</v>
      </c>
    </row>
    <row r="99" spans="1:28" x14ac:dyDescent="0.35">
      <c r="A99" s="52" t="s">
        <v>104</v>
      </c>
      <c r="B99" s="52" t="s">
        <v>141</v>
      </c>
      <c r="C99" s="52" t="s">
        <v>64</v>
      </c>
      <c r="D99" s="53">
        <v>810001201</v>
      </c>
      <c r="E99" s="52" t="s">
        <v>176</v>
      </c>
      <c r="F99" s="52" t="s">
        <v>181</v>
      </c>
      <c r="G99" s="2">
        <v>46199</v>
      </c>
      <c r="H99" s="52" t="s">
        <v>27</v>
      </c>
      <c r="I99" s="51" t="s">
        <v>28</v>
      </c>
      <c r="J99" s="53">
        <v>38089390</v>
      </c>
      <c r="K99" s="53">
        <v>1000023442</v>
      </c>
      <c r="L99" s="53">
        <v>11208778</v>
      </c>
      <c r="M99" s="53">
        <v>801164599</v>
      </c>
      <c r="N99" s="53">
        <v>901385421</v>
      </c>
      <c r="O99" s="78">
        <v>700</v>
      </c>
      <c r="P99" s="78">
        <v>700</v>
      </c>
      <c r="Q99" s="84">
        <f t="shared" si="4"/>
        <v>2100</v>
      </c>
      <c r="R99" s="79">
        <v>1470000</v>
      </c>
      <c r="S99" s="79">
        <v>264600</v>
      </c>
      <c r="T99" s="79">
        <v>1734600</v>
      </c>
      <c r="U99" s="1" t="s">
        <v>39</v>
      </c>
      <c r="V99" s="53">
        <v>9482</v>
      </c>
      <c r="W99" s="1" t="s">
        <v>200</v>
      </c>
      <c r="X99" s="1" t="s">
        <v>30</v>
      </c>
      <c r="Y99" s="1" t="s">
        <v>208</v>
      </c>
      <c r="Z99" s="2">
        <v>46161</v>
      </c>
      <c r="AA99" s="2">
        <v>46891</v>
      </c>
      <c r="AB99" s="1" t="s">
        <v>30</v>
      </c>
    </row>
    <row r="100" spans="1:28" x14ac:dyDescent="0.35">
      <c r="A100" s="52" t="s">
        <v>104</v>
      </c>
      <c r="B100" s="52" t="s">
        <v>141</v>
      </c>
      <c r="C100" s="52" t="s">
        <v>24</v>
      </c>
      <c r="D100" s="53">
        <v>810001598</v>
      </c>
      <c r="E100" s="52" t="s">
        <v>25</v>
      </c>
      <c r="F100" s="52" t="s">
        <v>182</v>
      </c>
      <c r="G100" s="2">
        <v>46199</v>
      </c>
      <c r="H100" s="52" t="s">
        <v>27</v>
      </c>
      <c r="I100" s="51" t="s">
        <v>28</v>
      </c>
      <c r="J100" s="53">
        <v>38089390</v>
      </c>
      <c r="K100" s="53">
        <v>1000023376</v>
      </c>
      <c r="L100" s="53">
        <v>11209115</v>
      </c>
      <c r="M100" s="53">
        <v>801164703</v>
      </c>
      <c r="N100" s="53">
        <v>901385502</v>
      </c>
      <c r="O100" s="78">
        <v>2200</v>
      </c>
      <c r="P100" s="78">
        <v>2200</v>
      </c>
      <c r="Q100" s="84">
        <f t="shared" si="4"/>
        <v>5000</v>
      </c>
      <c r="R100" s="79">
        <v>11000000</v>
      </c>
      <c r="S100" s="79">
        <v>1980000</v>
      </c>
      <c r="T100" s="79">
        <v>12980000</v>
      </c>
      <c r="U100" s="1" t="s">
        <v>29</v>
      </c>
      <c r="V100" s="51" t="s">
        <v>30</v>
      </c>
      <c r="W100" s="1" t="s">
        <v>31</v>
      </c>
      <c r="X100" s="1" t="s">
        <v>30</v>
      </c>
      <c r="Y100" s="1" t="s">
        <v>209</v>
      </c>
      <c r="Z100" s="2">
        <v>46193</v>
      </c>
      <c r="AA100" s="2">
        <v>46923</v>
      </c>
      <c r="AB100" s="1" t="s">
        <v>30</v>
      </c>
    </row>
    <row r="101" spans="1:28" x14ac:dyDescent="0.35">
      <c r="A101" s="52" t="s">
        <v>104</v>
      </c>
      <c r="B101" s="52" t="s">
        <v>141</v>
      </c>
      <c r="C101" s="52" t="s">
        <v>24</v>
      </c>
      <c r="D101" s="53">
        <v>810001598</v>
      </c>
      <c r="E101" s="52" t="s">
        <v>25</v>
      </c>
      <c r="F101" s="52" t="s">
        <v>182</v>
      </c>
      <c r="G101" s="2">
        <v>46199</v>
      </c>
      <c r="H101" s="52" t="s">
        <v>27</v>
      </c>
      <c r="I101" s="51" t="s">
        <v>28</v>
      </c>
      <c r="J101" s="53">
        <v>38089390</v>
      </c>
      <c r="K101" s="53">
        <v>1000023376</v>
      </c>
      <c r="L101" s="53">
        <v>11209115</v>
      </c>
      <c r="M101" s="53">
        <v>801164703</v>
      </c>
      <c r="N101" s="53">
        <v>901385502</v>
      </c>
      <c r="O101" s="78">
        <v>2200</v>
      </c>
      <c r="P101" s="78">
        <v>2200</v>
      </c>
      <c r="Q101" s="84">
        <f t="shared" si="4"/>
        <v>5000</v>
      </c>
      <c r="R101" s="79">
        <v>11000000</v>
      </c>
      <c r="S101" s="79">
        <v>1980000</v>
      </c>
      <c r="T101" s="79">
        <v>12980000</v>
      </c>
      <c r="U101" s="1" t="s">
        <v>29</v>
      </c>
      <c r="V101" s="51" t="s">
        <v>30</v>
      </c>
      <c r="W101" s="1" t="s">
        <v>31</v>
      </c>
      <c r="X101" s="1" t="s">
        <v>30</v>
      </c>
      <c r="Y101" s="1" t="s">
        <v>210</v>
      </c>
      <c r="Z101" s="2">
        <v>46195</v>
      </c>
      <c r="AA101" s="2">
        <v>46925</v>
      </c>
      <c r="AB101" s="1" t="s">
        <v>30</v>
      </c>
    </row>
    <row r="102" spans="1:28" x14ac:dyDescent="0.35">
      <c r="A102" s="1" t="s">
        <v>104</v>
      </c>
      <c r="B102" s="52" t="s">
        <v>141</v>
      </c>
      <c r="C102" s="1" t="s">
        <v>64</v>
      </c>
      <c r="D102" s="3">
        <v>810001201</v>
      </c>
      <c r="E102" s="1" t="s">
        <v>176</v>
      </c>
      <c r="F102" s="1" t="s">
        <v>211</v>
      </c>
      <c r="G102" s="2">
        <v>46200</v>
      </c>
      <c r="H102" s="1" t="s">
        <v>27</v>
      </c>
      <c r="I102" s="1" t="s">
        <v>28</v>
      </c>
      <c r="J102" s="3">
        <v>38089390</v>
      </c>
      <c r="K102" s="3">
        <v>1000023452</v>
      </c>
      <c r="L102" s="3">
        <v>11209459</v>
      </c>
      <c r="M102" s="3">
        <v>801165126</v>
      </c>
      <c r="N102" s="3">
        <v>901386234</v>
      </c>
      <c r="O102" s="78">
        <v>480</v>
      </c>
      <c r="P102" s="78">
        <v>480</v>
      </c>
      <c r="Q102" s="84">
        <f t="shared" si="4"/>
        <v>2100</v>
      </c>
      <c r="R102" s="79">
        <v>1008000</v>
      </c>
      <c r="S102" s="79">
        <v>181440</v>
      </c>
      <c r="T102" s="79">
        <v>1189440</v>
      </c>
      <c r="U102" s="1" t="s">
        <v>39</v>
      </c>
      <c r="V102" s="3">
        <v>9486</v>
      </c>
      <c r="W102" s="1" t="s">
        <v>212</v>
      </c>
      <c r="X102" s="1" t="s">
        <v>30</v>
      </c>
      <c r="Y102" s="1" t="s">
        <v>208</v>
      </c>
      <c r="Z102" s="2">
        <v>46161</v>
      </c>
      <c r="AA102" s="2">
        <v>46891</v>
      </c>
      <c r="AB102" s="1"/>
    </row>
    <row r="103" spans="1:28" x14ac:dyDescent="0.35">
      <c r="A103" s="1" t="s">
        <v>104</v>
      </c>
      <c r="B103" s="52" t="s">
        <v>141</v>
      </c>
      <c r="C103" s="1" t="s">
        <v>64</v>
      </c>
      <c r="D103" s="3">
        <v>810001201</v>
      </c>
      <c r="E103" s="1" t="s">
        <v>176</v>
      </c>
      <c r="F103" s="1" t="s">
        <v>211</v>
      </c>
      <c r="G103" s="2">
        <v>46200</v>
      </c>
      <c r="H103" s="1" t="s">
        <v>27</v>
      </c>
      <c r="I103" s="1" t="s">
        <v>28</v>
      </c>
      <c r="J103" s="3">
        <v>38089390</v>
      </c>
      <c r="K103" s="3">
        <v>1000023452</v>
      </c>
      <c r="L103" s="3">
        <v>11209459</v>
      </c>
      <c r="M103" s="3">
        <v>801165126</v>
      </c>
      <c r="N103" s="3">
        <v>901386234</v>
      </c>
      <c r="O103" s="78">
        <v>1180</v>
      </c>
      <c r="P103" s="78">
        <v>1180</v>
      </c>
      <c r="Q103" s="84">
        <f t="shared" si="4"/>
        <v>2100</v>
      </c>
      <c r="R103" s="79">
        <v>2478000</v>
      </c>
      <c r="S103" s="79">
        <v>446040</v>
      </c>
      <c r="T103" s="79">
        <v>2924040</v>
      </c>
      <c r="U103" s="1" t="s">
        <v>39</v>
      </c>
      <c r="V103" s="3">
        <v>9486</v>
      </c>
      <c r="W103" s="1" t="s">
        <v>212</v>
      </c>
      <c r="X103" s="1" t="s">
        <v>30</v>
      </c>
      <c r="Y103" s="1" t="s">
        <v>213</v>
      </c>
      <c r="Z103" s="2">
        <v>46161</v>
      </c>
      <c r="AA103" s="2">
        <v>46891</v>
      </c>
      <c r="AB103" s="1"/>
    </row>
    <row r="104" spans="1:28" x14ac:dyDescent="0.35">
      <c r="A104" s="1" t="s">
        <v>104</v>
      </c>
      <c r="B104" s="52" t="s">
        <v>141</v>
      </c>
      <c r="C104" s="1" t="s">
        <v>64</v>
      </c>
      <c r="D104" s="3">
        <v>810001201</v>
      </c>
      <c r="E104" s="1" t="s">
        <v>176</v>
      </c>
      <c r="F104" s="1" t="s">
        <v>211</v>
      </c>
      <c r="G104" s="2">
        <v>46200</v>
      </c>
      <c r="H104" s="1" t="s">
        <v>27</v>
      </c>
      <c r="I104" s="1" t="s">
        <v>28</v>
      </c>
      <c r="J104" s="3">
        <v>38089390</v>
      </c>
      <c r="K104" s="3">
        <v>1000023452</v>
      </c>
      <c r="L104" s="3">
        <v>11209459</v>
      </c>
      <c r="M104" s="3">
        <v>801165126</v>
      </c>
      <c r="N104" s="3">
        <v>901386234</v>
      </c>
      <c r="O104" s="78">
        <v>1180</v>
      </c>
      <c r="P104" s="78">
        <v>1180</v>
      </c>
      <c r="Q104" s="84">
        <f t="shared" si="4"/>
        <v>2100</v>
      </c>
      <c r="R104" s="79">
        <v>2478000</v>
      </c>
      <c r="S104" s="79">
        <v>446040</v>
      </c>
      <c r="T104" s="79">
        <v>2924040</v>
      </c>
      <c r="U104" s="1" t="s">
        <v>39</v>
      </c>
      <c r="V104" s="3">
        <v>9486</v>
      </c>
      <c r="W104" s="1" t="s">
        <v>212</v>
      </c>
      <c r="X104" s="1" t="s">
        <v>30</v>
      </c>
      <c r="Y104" s="1" t="s">
        <v>214</v>
      </c>
      <c r="Z104" s="2">
        <v>46161</v>
      </c>
      <c r="AA104" s="2">
        <v>46891</v>
      </c>
      <c r="AB104" s="1"/>
    </row>
    <row r="105" spans="1:28" x14ac:dyDescent="0.35">
      <c r="A105" s="1" t="s">
        <v>104</v>
      </c>
      <c r="B105" s="52" t="s">
        <v>141</v>
      </c>
      <c r="C105" s="1" t="s">
        <v>64</v>
      </c>
      <c r="D105" s="3">
        <v>810001201</v>
      </c>
      <c r="E105" s="1" t="s">
        <v>176</v>
      </c>
      <c r="F105" s="1" t="s">
        <v>211</v>
      </c>
      <c r="G105" s="2">
        <v>46200</v>
      </c>
      <c r="H105" s="1" t="s">
        <v>27</v>
      </c>
      <c r="I105" s="1" t="s">
        <v>28</v>
      </c>
      <c r="J105" s="3">
        <v>38089390</v>
      </c>
      <c r="K105" s="3">
        <v>1000023452</v>
      </c>
      <c r="L105" s="3">
        <v>11209459</v>
      </c>
      <c r="M105" s="3">
        <v>801165126</v>
      </c>
      <c r="N105" s="3">
        <v>901386234</v>
      </c>
      <c r="O105" s="78">
        <v>1180</v>
      </c>
      <c r="P105" s="78">
        <v>1180</v>
      </c>
      <c r="Q105" s="84">
        <f t="shared" si="4"/>
        <v>2100</v>
      </c>
      <c r="R105" s="79">
        <v>2478000</v>
      </c>
      <c r="S105" s="79">
        <v>446040</v>
      </c>
      <c r="T105" s="79">
        <v>2924040</v>
      </c>
      <c r="U105" s="1" t="s">
        <v>39</v>
      </c>
      <c r="V105" s="3">
        <v>9486</v>
      </c>
      <c r="W105" s="1" t="s">
        <v>212</v>
      </c>
      <c r="X105" s="1" t="s">
        <v>30</v>
      </c>
      <c r="Y105" s="1" t="s">
        <v>215</v>
      </c>
      <c r="Z105" s="2">
        <v>46163</v>
      </c>
      <c r="AA105" s="2">
        <v>46893</v>
      </c>
      <c r="AB105" s="1"/>
    </row>
    <row r="106" spans="1:28" x14ac:dyDescent="0.35">
      <c r="A106" s="1" t="s">
        <v>104</v>
      </c>
      <c r="B106" s="52" t="s">
        <v>141</v>
      </c>
      <c r="C106" s="1" t="s">
        <v>64</v>
      </c>
      <c r="D106" s="3">
        <v>810001201</v>
      </c>
      <c r="E106" s="1" t="s">
        <v>176</v>
      </c>
      <c r="F106" s="1" t="s">
        <v>211</v>
      </c>
      <c r="G106" s="2">
        <v>46200</v>
      </c>
      <c r="H106" s="1" t="s">
        <v>27</v>
      </c>
      <c r="I106" s="1" t="s">
        <v>28</v>
      </c>
      <c r="J106" s="3">
        <v>38089390</v>
      </c>
      <c r="K106" s="3">
        <v>1000023452</v>
      </c>
      <c r="L106" s="3">
        <v>11209459</v>
      </c>
      <c r="M106" s="3">
        <v>801165126</v>
      </c>
      <c r="N106" s="3">
        <v>901386234</v>
      </c>
      <c r="O106" s="78">
        <v>1140</v>
      </c>
      <c r="P106" s="78">
        <v>1140</v>
      </c>
      <c r="Q106" s="84">
        <f t="shared" si="4"/>
        <v>2100</v>
      </c>
      <c r="R106" s="79">
        <v>2394000</v>
      </c>
      <c r="S106" s="79">
        <v>430920</v>
      </c>
      <c r="T106" s="79">
        <v>2824920</v>
      </c>
      <c r="U106" s="1" t="s">
        <v>39</v>
      </c>
      <c r="V106" s="3">
        <v>9486</v>
      </c>
      <c r="W106" s="1" t="s">
        <v>212</v>
      </c>
      <c r="X106" s="1" t="s">
        <v>30</v>
      </c>
      <c r="Y106" s="1" t="s">
        <v>216</v>
      </c>
      <c r="Z106" s="2">
        <v>46167</v>
      </c>
      <c r="AA106" s="2">
        <v>46897</v>
      </c>
      <c r="AB106" s="1"/>
    </row>
    <row r="107" spans="1:28" x14ac:dyDescent="0.35">
      <c r="A107" s="1" t="s">
        <v>104</v>
      </c>
      <c r="B107" s="52" t="s">
        <v>141</v>
      </c>
      <c r="C107" s="1" t="s">
        <v>64</v>
      </c>
      <c r="D107" s="3">
        <v>810001201</v>
      </c>
      <c r="E107" s="1" t="s">
        <v>176</v>
      </c>
      <c r="F107" s="1" t="s">
        <v>211</v>
      </c>
      <c r="G107" s="2">
        <v>46200</v>
      </c>
      <c r="H107" s="1" t="s">
        <v>27</v>
      </c>
      <c r="I107" s="1" t="s">
        <v>28</v>
      </c>
      <c r="J107" s="3">
        <v>38089390</v>
      </c>
      <c r="K107" s="3">
        <v>1000023452</v>
      </c>
      <c r="L107" s="3">
        <v>11209459</v>
      </c>
      <c r="M107" s="3">
        <v>801165126</v>
      </c>
      <c r="N107" s="3">
        <v>901386234</v>
      </c>
      <c r="O107" s="78">
        <v>1120</v>
      </c>
      <c r="P107" s="78">
        <v>1120</v>
      </c>
      <c r="Q107" s="84">
        <f t="shared" si="4"/>
        <v>2100</v>
      </c>
      <c r="R107" s="79">
        <v>2352000</v>
      </c>
      <c r="S107" s="79">
        <v>423360</v>
      </c>
      <c r="T107" s="79">
        <v>2775360</v>
      </c>
      <c r="U107" s="1" t="s">
        <v>39</v>
      </c>
      <c r="V107" s="3">
        <v>9486</v>
      </c>
      <c r="W107" s="1" t="s">
        <v>212</v>
      </c>
      <c r="X107" s="1" t="s">
        <v>30</v>
      </c>
      <c r="Y107" s="1" t="s">
        <v>217</v>
      </c>
      <c r="Z107" s="2">
        <v>46169</v>
      </c>
      <c r="AA107" s="2">
        <v>46899</v>
      </c>
      <c r="AB107" s="1"/>
    </row>
    <row r="108" spans="1:28" x14ac:dyDescent="0.35">
      <c r="A108" s="1" t="s">
        <v>104</v>
      </c>
      <c r="B108" s="52" t="s">
        <v>141</v>
      </c>
      <c r="C108" s="1" t="s">
        <v>64</v>
      </c>
      <c r="D108" s="3">
        <v>810001201</v>
      </c>
      <c r="E108" s="1" t="s">
        <v>176</v>
      </c>
      <c r="F108" s="1" t="s">
        <v>211</v>
      </c>
      <c r="G108" s="2">
        <v>46200</v>
      </c>
      <c r="H108" s="1" t="s">
        <v>27</v>
      </c>
      <c r="I108" s="1" t="s">
        <v>28</v>
      </c>
      <c r="J108" s="3">
        <v>38089390</v>
      </c>
      <c r="K108" s="3">
        <v>1000023452</v>
      </c>
      <c r="L108" s="3">
        <v>11209459</v>
      </c>
      <c r="M108" s="3">
        <v>801165126</v>
      </c>
      <c r="N108" s="3">
        <v>901386234</v>
      </c>
      <c r="O108" s="78">
        <v>1120</v>
      </c>
      <c r="P108" s="78">
        <v>1120</v>
      </c>
      <c r="Q108" s="84">
        <f t="shared" si="4"/>
        <v>2100</v>
      </c>
      <c r="R108" s="79">
        <v>2352000</v>
      </c>
      <c r="S108" s="79">
        <v>423360</v>
      </c>
      <c r="T108" s="79">
        <v>2775360</v>
      </c>
      <c r="U108" s="1" t="s">
        <v>39</v>
      </c>
      <c r="V108" s="3">
        <v>9486</v>
      </c>
      <c r="W108" s="1" t="s">
        <v>212</v>
      </c>
      <c r="X108" s="1" t="s">
        <v>30</v>
      </c>
      <c r="Y108" s="1" t="s">
        <v>218</v>
      </c>
      <c r="Z108" s="2">
        <v>46170</v>
      </c>
      <c r="AA108" s="2">
        <v>46900</v>
      </c>
      <c r="AB108" s="1"/>
    </row>
    <row r="109" spans="1:28" x14ac:dyDescent="0.35">
      <c r="A109" s="1" t="s">
        <v>104</v>
      </c>
      <c r="B109" s="52" t="s">
        <v>141</v>
      </c>
      <c r="C109" s="1" t="s">
        <v>64</v>
      </c>
      <c r="D109" s="3">
        <v>810001201</v>
      </c>
      <c r="E109" s="1" t="s">
        <v>176</v>
      </c>
      <c r="F109" s="1" t="s">
        <v>211</v>
      </c>
      <c r="G109" s="2">
        <v>46200</v>
      </c>
      <c r="H109" s="1" t="s">
        <v>27</v>
      </c>
      <c r="I109" s="1" t="s">
        <v>28</v>
      </c>
      <c r="J109" s="3">
        <v>38089390</v>
      </c>
      <c r="K109" s="3">
        <v>1000023452</v>
      </c>
      <c r="L109" s="3">
        <v>11209459</v>
      </c>
      <c r="M109" s="3">
        <v>801165126</v>
      </c>
      <c r="N109" s="3">
        <v>901386234</v>
      </c>
      <c r="O109" s="78">
        <v>1180</v>
      </c>
      <c r="P109" s="78">
        <v>1180</v>
      </c>
      <c r="Q109" s="84">
        <f t="shared" si="4"/>
        <v>2100</v>
      </c>
      <c r="R109" s="79">
        <v>2478000</v>
      </c>
      <c r="S109" s="79">
        <v>446040</v>
      </c>
      <c r="T109" s="79">
        <v>2924040</v>
      </c>
      <c r="U109" s="1" t="s">
        <v>39</v>
      </c>
      <c r="V109" s="3">
        <v>9486</v>
      </c>
      <c r="W109" s="1" t="s">
        <v>212</v>
      </c>
      <c r="X109" s="1" t="s">
        <v>30</v>
      </c>
      <c r="Y109" s="1" t="s">
        <v>219</v>
      </c>
      <c r="Z109" s="2">
        <v>46181</v>
      </c>
      <c r="AA109" s="2">
        <v>46911</v>
      </c>
      <c r="AB109" s="1"/>
    </row>
    <row r="110" spans="1:28" x14ac:dyDescent="0.35">
      <c r="A110" s="1" t="s">
        <v>104</v>
      </c>
      <c r="B110" s="52" t="s">
        <v>141</v>
      </c>
      <c r="C110" s="1" t="s">
        <v>64</v>
      </c>
      <c r="D110" s="3">
        <v>810001201</v>
      </c>
      <c r="E110" s="1" t="s">
        <v>176</v>
      </c>
      <c r="F110" s="1" t="s">
        <v>211</v>
      </c>
      <c r="G110" s="2">
        <v>46200</v>
      </c>
      <c r="H110" s="1" t="s">
        <v>27</v>
      </c>
      <c r="I110" s="1" t="s">
        <v>28</v>
      </c>
      <c r="J110" s="3">
        <v>38089390</v>
      </c>
      <c r="K110" s="3">
        <v>1000023452</v>
      </c>
      <c r="L110" s="3">
        <v>11209459</v>
      </c>
      <c r="M110" s="3">
        <v>801165126</v>
      </c>
      <c r="N110" s="3">
        <v>901386234</v>
      </c>
      <c r="O110" s="78">
        <v>900</v>
      </c>
      <c r="P110" s="78">
        <v>900</v>
      </c>
      <c r="Q110" s="84">
        <f t="shared" si="4"/>
        <v>2100</v>
      </c>
      <c r="R110" s="79">
        <v>1890000</v>
      </c>
      <c r="S110" s="79">
        <v>340200</v>
      </c>
      <c r="T110" s="79">
        <v>2230200</v>
      </c>
      <c r="U110" s="1" t="s">
        <v>39</v>
      </c>
      <c r="V110" s="3">
        <v>9486</v>
      </c>
      <c r="W110" s="1" t="s">
        <v>212</v>
      </c>
      <c r="X110" s="1" t="s">
        <v>30</v>
      </c>
      <c r="Y110" s="1" t="s">
        <v>220</v>
      </c>
      <c r="Z110" s="2">
        <v>46185</v>
      </c>
      <c r="AA110" s="2">
        <v>46915</v>
      </c>
      <c r="AB110" s="1"/>
    </row>
    <row r="111" spans="1:28" x14ac:dyDescent="0.35">
      <c r="A111" s="1" t="s">
        <v>104</v>
      </c>
      <c r="B111" s="52" t="s">
        <v>141</v>
      </c>
      <c r="C111" s="1" t="s">
        <v>64</v>
      </c>
      <c r="D111" s="3">
        <v>810001201</v>
      </c>
      <c r="E111" s="1" t="s">
        <v>176</v>
      </c>
      <c r="F111" s="1" t="s">
        <v>211</v>
      </c>
      <c r="G111" s="2">
        <v>46200</v>
      </c>
      <c r="H111" s="1" t="s">
        <v>27</v>
      </c>
      <c r="I111" s="1" t="s">
        <v>28</v>
      </c>
      <c r="J111" s="3">
        <v>38089390</v>
      </c>
      <c r="K111" s="3">
        <v>1000023452</v>
      </c>
      <c r="L111" s="3">
        <v>11209459</v>
      </c>
      <c r="M111" s="3">
        <v>801165126</v>
      </c>
      <c r="N111" s="3">
        <v>901386234</v>
      </c>
      <c r="O111" s="78">
        <v>1220</v>
      </c>
      <c r="P111" s="78">
        <v>1220</v>
      </c>
      <c r="Q111" s="84">
        <f t="shared" si="4"/>
        <v>2100</v>
      </c>
      <c r="R111" s="79">
        <v>2562000</v>
      </c>
      <c r="S111" s="79">
        <v>461160</v>
      </c>
      <c r="T111" s="79">
        <v>3023160</v>
      </c>
      <c r="U111" s="1" t="s">
        <v>39</v>
      </c>
      <c r="V111" s="3">
        <v>9486</v>
      </c>
      <c r="W111" s="1" t="s">
        <v>212</v>
      </c>
      <c r="X111" s="1" t="s">
        <v>30</v>
      </c>
      <c r="Y111" s="1" t="s">
        <v>221</v>
      </c>
      <c r="Z111" s="2">
        <v>46187</v>
      </c>
      <c r="AA111" s="2">
        <v>46917</v>
      </c>
      <c r="AB111" s="1"/>
    </row>
    <row r="112" spans="1:28" x14ac:dyDescent="0.35">
      <c r="A112" s="1" t="s">
        <v>104</v>
      </c>
      <c r="B112" s="1" t="s">
        <v>141</v>
      </c>
      <c r="C112" s="1" t="s">
        <v>24</v>
      </c>
      <c r="D112" s="3">
        <v>810001598</v>
      </c>
      <c r="E112" s="1" t="s">
        <v>25</v>
      </c>
      <c r="F112" s="1" t="s">
        <v>222</v>
      </c>
      <c r="G112" s="2">
        <v>46203</v>
      </c>
      <c r="H112" s="1" t="s">
        <v>27</v>
      </c>
      <c r="I112" s="1" t="s">
        <v>28</v>
      </c>
      <c r="J112" s="3">
        <v>38089390</v>
      </c>
      <c r="K112" s="3">
        <v>1000023453</v>
      </c>
      <c r="L112" s="3">
        <v>11211083</v>
      </c>
      <c r="M112" s="3">
        <v>801166765</v>
      </c>
      <c r="N112" s="3">
        <v>901388840</v>
      </c>
      <c r="O112" s="78">
        <v>2140</v>
      </c>
      <c r="P112" s="78">
        <v>2140</v>
      </c>
      <c r="Q112" s="78">
        <v>5000</v>
      </c>
      <c r="R112" s="79">
        <v>10700000</v>
      </c>
      <c r="S112" s="79">
        <v>1926000</v>
      </c>
      <c r="T112" s="79">
        <v>12626000</v>
      </c>
      <c r="U112" s="1" t="s">
        <v>39</v>
      </c>
      <c r="V112" s="1" t="s">
        <v>30</v>
      </c>
      <c r="W112" s="1" t="s">
        <v>31</v>
      </c>
      <c r="X112" s="1" t="s">
        <v>30</v>
      </c>
      <c r="Y112" s="1" t="s">
        <v>223</v>
      </c>
      <c r="Z112" s="2">
        <v>46197</v>
      </c>
      <c r="AA112" s="2">
        <v>46927</v>
      </c>
      <c r="AB112" s="1" t="s">
        <v>30</v>
      </c>
    </row>
    <row r="113" spans="1:28" x14ac:dyDescent="0.35">
      <c r="A113" s="1" t="s">
        <v>104</v>
      </c>
      <c r="B113" s="1" t="s">
        <v>141</v>
      </c>
      <c r="C113" s="1" t="s">
        <v>24</v>
      </c>
      <c r="D113" s="3">
        <v>810001598</v>
      </c>
      <c r="E113" s="1" t="s">
        <v>25</v>
      </c>
      <c r="F113" s="1" t="s">
        <v>222</v>
      </c>
      <c r="G113" s="2">
        <v>46203</v>
      </c>
      <c r="H113" s="1" t="s">
        <v>27</v>
      </c>
      <c r="I113" s="1" t="s">
        <v>28</v>
      </c>
      <c r="J113" s="3">
        <v>38089390</v>
      </c>
      <c r="K113" s="3">
        <v>1000023453</v>
      </c>
      <c r="L113" s="3">
        <v>11211083</v>
      </c>
      <c r="M113" s="3">
        <v>801166765</v>
      </c>
      <c r="N113" s="3">
        <v>901388840</v>
      </c>
      <c r="O113" s="78">
        <v>2160</v>
      </c>
      <c r="P113" s="78">
        <v>2160</v>
      </c>
      <c r="Q113" s="78">
        <v>5000</v>
      </c>
      <c r="R113" s="79">
        <v>10800000</v>
      </c>
      <c r="S113" s="79">
        <v>1944000</v>
      </c>
      <c r="T113" s="79">
        <v>12744000</v>
      </c>
      <c r="U113" s="1" t="s">
        <v>39</v>
      </c>
      <c r="V113" s="1" t="s">
        <v>30</v>
      </c>
      <c r="W113" s="1" t="s">
        <v>31</v>
      </c>
      <c r="X113" s="1" t="s">
        <v>30</v>
      </c>
      <c r="Y113" s="1" t="s">
        <v>224</v>
      </c>
      <c r="Z113" s="2">
        <v>46199</v>
      </c>
      <c r="AA113" s="2">
        <v>46929</v>
      </c>
      <c r="AB113" s="1" t="s">
        <v>30</v>
      </c>
    </row>
    <row r="114" spans="1:28" x14ac:dyDescent="0.35">
      <c r="A114" s="1" t="s">
        <v>104</v>
      </c>
      <c r="B114" s="1" t="s">
        <v>141</v>
      </c>
      <c r="C114" s="1" t="s">
        <v>24</v>
      </c>
      <c r="D114" s="3">
        <v>810001598</v>
      </c>
      <c r="E114" s="1" t="s">
        <v>25</v>
      </c>
      <c r="F114" s="1" t="s">
        <v>225</v>
      </c>
      <c r="G114" s="2">
        <v>46203</v>
      </c>
      <c r="H114" s="1" t="s">
        <v>27</v>
      </c>
      <c r="I114" s="1" t="s">
        <v>28</v>
      </c>
      <c r="J114" s="3">
        <v>38089390</v>
      </c>
      <c r="K114" s="3">
        <v>1000023453</v>
      </c>
      <c r="L114" s="3">
        <v>11211091</v>
      </c>
      <c r="M114" s="3">
        <v>801166774</v>
      </c>
      <c r="N114" s="3">
        <v>901388854</v>
      </c>
      <c r="O114" s="78">
        <v>2120</v>
      </c>
      <c r="P114" s="78">
        <v>2120</v>
      </c>
      <c r="Q114" s="78">
        <v>5000</v>
      </c>
      <c r="R114" s="79">
        <v>10600000</v>
      </c>
      <c r="S114" s="79">
        <v>1908000</v>
      </c>
      <c r="T114" s="79">
        <v>12508000</v>
      </c>
      <c r="U114" s="1" t="s">
        <v>39</v>
      </c>
      <c r="V114" s="1" t="s">
        <v>30</v>
      </c>
      <c r="W114" s="1" t="s">
        <v>31</v>
      </c>
      <c r="X114" s="1" t="s">
        <v>30</v>
      </c>
      <c r="Y114" s="1" t="s">
        <v>226</v>
      </c>
      <c r="Z114" s="2">
        <v>46201</v>
      </c>
      <c r="AA114" s="2">
        <v>46931</v>
      </c>
      <c r="AB114" s="1" t="s">
        <v>30</v>
      </c>
    </row>
    <row r="115" spans="1:28" x14ac:dyDescent="0.35">
      <c r="A115" s="1" t="s">
        <v>104</v>
      </c>
      <c r="B115" s="1" t="s">
        <v>141</v>
      </c>
      <c r="C115" s="1" t="s">
        <v>24</v>
      </c>
      <c r="D115" s="3">
        <v>810001130</v>
      </c>
      <c r="E115" s="1" t="s">
        <v>142</v>
      </c>
      <c r="F115" s="1" t="s">
        <v>227</v>
      </c>
      <c r="G115" s="2">
        <v>46203</v>
      </c>
      <c r="H115" s="1" t="s">
        <v>27</v>
      </c>
      <c r="I115" s="1" t="s">
        <v>28</v>
      </c>
      <c r="J115" s="3">
        <v>38089390</v>
      </c>
      <c r="K115" s="3">
        <v>1000023554</v>
      </c>
      <c r="L115" s="3">
        <v>11211837</v>
      </c>
      <c r="M115" s="3">
        <v>801167553</v>
      </c>
      <c r="N115" s="3">
        <v>901390086</v>
      </c>
      <c r="O115" s="78">
        <v>425</v>
      </c>
      <c r="P115" s="78">
        <v>425</v>
      </c>
      <c r="Q115" s="79">
        <v>4500</v>
      </c>
      <c r="R115" s="79">
        <v>1912500</v>
      </c>
      <c r="S115" s="79">
        <v>344250</v>
      </c>
      <c r="T115" s="79">
        <v>2256750</v>
      </c>
      <c r="U115" s="1" t="s">
        <v>39</v>
      </c>
      <c r="V115" s="3">
        <v>9502</v>
      </c>
      <c r="W115" s="1" t="s">
        <v>228</v>
      </c>
      <c r="X115" s="1" t="s">
        <v>30</v>
      </c>
      <c r="Y115" s="1" t="s">
        <v>229</v>
      </c>
      <c r="Z115" s="2">
        <v>46202</v>
      </c>
      <c r="AA115" s="2">
        <v>46932</v>
      </c>
      <c r="AB115" s="2"/>
    </row>
    <row r="116" spans="1:28" x14ac:dyDescent="0.35">
      <c r="A116" s="1" t="s">
        <v>104</v>
      </c>
      <c r="B116" s="1" t="s">
        <v>141</v>
      </c>
      <c r="C116" s="1" t="s">
        <v>36</v>
      </c>
      <c r="D116" s="3">
        <v>810001523</v>
      </c>
      <c r="E116" s="1" t="s">
        <v>230</v>
      </c>
      <c r="F116" s="1" t="s">
        <v>231</v>
      </c>
      <c r="G116" s="2">
        <v>46203</v>
      </c>
      <c r="H116" s="1" t="s">
        <v>27</v>
      </c>
      <c r="I116" s="1" t="s">
        <v>28</v>
      </c>
      <c r="J116" s="3">
        <v>38089390</v>
      </c>
      <c r="K116" s="3">
        <v>1000023603</v>
      </c>
      <c r="L116" s="3">
        <v>11211979</v>
      </c>
      <c r="M116" s="3">
        <v>801167748</v>
      </c>
      <c r="N116" s="3">
        <v>901390384</v>
      </c>
      <c r="O116" s="78">
        <v>4400</v>
      </c>
      <c r="P116" s="78">
        <v>4400</v>
      </c>
      <c r="Q116" s="79">
        <v>700</v>
      </c>
      <c r="R116" s="79">
        <v>3080000</v>
      </c>
      <c r="S116" s="79">
        <v>554400</v>
      </c>
      <c r="T116" s="79">
        <v>3634400</v>
      </c>
      <c r="U116" s="1" t="s">
        <v>39</v>
      </c>
      <c r="V116" s="3">
        <v>9501</v>
      </c>
      <c r="W116" s="1" t="s">
        <v>44</v>
      </c>
      <c r="X116" s="1" t="s">
        <v>30</v>
      </c>
      <c r="Y116" s="1" t="s">
        <v>232</v>
      </c>
      <c r="Z116" s="2">
        <v>46193</v>
      </c>
      <c r="AA116" s="2">
        <v>46923</v>
      </c>
      <c r="AB116" s="2"/>
    </row>
    <row r="117" spans="1:28" x14ac:dyDescent="0.35">
      <c r="A117" s="1" t="s">
        <v>104</v>
      </c>
      <c r="B117" s="1" t="s">
        <v>141</v>
      </c>
      <c r="C117" s="1" t="s">
        <v>36</v>
      </c>
      <c r="D117" s="3">
        <v>810001523</v>
      </c>
      <c r="E117" s="1" t="s">
        <v>230</v>
      </c>
      <c r="F117" s="1" t="s">
        <v>231</v>
      </c>
      <c r="G117" s="2">
        <v>46203</v>
      </c>
      <c r="H117" s="1" t="s">
        <v>27</v>
      </c>
      <c r="I117" s="1" t="s">
        <v>28</v>
      </c>
      <c r="J117" s="3">
        <v>38089390</v>
      </c>
      <c r="K117" s="3">
        <v>1000023603</v>
      </c>
      <c r="L117" s="3">
        <v>11211979</v>
      </c>
      <c r="M117" s="3">
        <v>801167748</v>
      </c>
      <c r="N117" s="3">
        <v>901390384</v>
      </c>
      <c r="O117" s="78">
        <v>4425</v>
      </c>
      <c r="P117" s="78">
        <v>4425</v>
      </c>
      <c r="Q117" s="79">
        <v>700</v>
      </c>
      <c r="R117" s="79">
        <v>3097500</v>
      </c>
      <c r="S117" s="79">
        <v>557550</v>
      </c>
      <c r="T117" s="79">
        <v>3655050</v>
      </c>
      <c r="U117" s="1" t="s">
        <v>39</v>
      </c>
      <c r="V117" s="3">
        <v>9501</v>
      </c>
      <c r="W117" s="1" t="s">
        <v>44</v>
      </c>
      <c r="X117" s="1" t="s">
        <v>30</v>
      </c>
      <c r="Y117" s="1" t="s">
        <v>233</v>
      </c>
      <c r="Z117" s="2">
        <v>46194</v>
      </c>
      <c r="AA117" s="2">
        <v>46924</v>
      </c>
      <c r="AB117" s="2"/>
    </row>
  </sheetData>
  <autoFilter ref="A6:AB6" xr:uid="{1EF2C77E-1631-47F5-99B8-03952B3D6B22}"/>
  <mergeCells count="1">
    <mergeCell ref="A5:AB5"/>
  </mergeCells>
  <conditionalFormatting sqref="D6">
    <cfRule type="duplicateValues" dxfId="1" priority="1"/>
  </conditionalFormatting>
  <conditionalFormatting sqref="D6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 2026-27 Month Wise Summary</vt:lpstr>
      <vt:lpstr>Material Wise Summary</vt:lpstr>
      <vt:lpstr>FG 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Sinh Chauhan</dc:creator>
  <cp:lastModifiedBy>Ghanshyam Sinh Chauhan</cp:lastModifiedBy>
  <dcterms:created xsi:type="dcterms:W3CDTF">2015-06-05T18:17:20Z</dcterms:created>
  <dcterms:modified xsi:type="dcterms:W3CDTF">2026-07-01T06:04:50Z</dcterms:modified>
</cp:coreProperties>
</file>