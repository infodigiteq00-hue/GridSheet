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Q:\FG Details &amp; Reports\"/>
    </mc:Choice>
  </mc:AlternateContent>
  <xr:revisionPtr revIDLastSave="0" documentId="13_ncr:1_{71865571-7F26-4C15-9D9C-D1E0D4FF1EEE}" xr6:coauthVersionLast="36" xr6:coauthVersionMax="36" xr10:uidLastSave="{00000000-0000-0000-0000-000000000000}"/>
  <bookViews>
    <workbookView xWindow="0" yWindow="0" windowWidth="19200" windowHeight="6810" xr2:uid="{00000000-000D-0000-FFFF-FFFF00000000}"/>
  </bookViews>
  <sheets>
    <sheet name="SUMMARY" sheetId="6" r:id="rId1"/>
    <sheet name="Pivot" sheetId="9" r:id="rId2"/>
    <sheet name="DISPOSAL MATERIAL DATA (2)" sheetId="8" r:id="rId3"/>
    <sheet name="DISPOSAL MATERIAL DATA" sheetId="4" state="hidden" r:id="rId4"/>
  </sheets>
  <definedNames>
    <definedName name="_xlnm._FilterDatabase" localSheetId="3" hidden="1">'DISPOSAL MATERIAL DATA'!$A$4:$M$41</definedName>
    <definedName name="_xlnm._FilterDatabase" localSheetId="2" hidden="1">'DISPOSAL MATERIAL DATA (2)'!$A$4:$P$4</definedName>
  </definedNames>
  <calcPr calcId="191029"/>
  <pivotCaches>
    <pivotCache cacheId="0" r:id="rId5"/>
  </pivotCaches>
</workbook>
</file>

<file path=xl/calcChain.xml><?xml version="1.0" encoding="utf-8"?>
<calcChain xmlns="http://schemas.openxmlformats.org/spreadsheetml/2006/main">
  <c r="M3" i="8" l="1"/>
  <c r="L3" i="8"/>
  <c r="J3" i="8"/>
  <c r="H3" i="8"/>
  <c r="J12" i="6"/>
  <c r="I12" i="6"/>
  <c r="H12" i="6"/>
  <c r="G12" i="6"/>
  <c r="F12" i="6"/>
  <c r="E12" i="6"/>
  <c r="D12" i="6"/>
  <c r="C12" i="6"/>
  <c r="L52" i="8"/>
  <c r="M52" i="8" s="1"/>
  <c r="L53" i="8"/>
  <c r="M53" i="8" s="1"/>
  <c r="L54" i="8"/>
  <c r="M54" i="8" s="1"/>
  <c r="L55" i="8"/>
  <c r="M55" i="8" s="1"/>
  <c r="L56" i="8"/>
  <c r="M56" i="8"/>
  <c r="L57" i="8"/>
  <c r="M57" i="8"/>
  <c r="L58" i="8"/>
  <c r="M58" i="8" s="1"/>
  <c r="L59" i="8"/>
  <c r="M59" i="8" s="1"/>
  <c r="L60" i="8"/>
  <c r="M60" i="8" s="1"/>
  <c r="L61" i="8"/>
  <c r="M61" i="8"/>
  <c r="L62" i="8"/>
  <c r="M62" i="8" s="1"/>
  <c r="L63" i="8"/>
  <c r="M63" i="8" s="1"/>
  <c r="L64" i="8"/>
  <c r="M64" i="8" s="1"/>
  <c r="L65" i="8"/>
  <c r="M65" i="8" s="1"/>
  <c r="L66" i="8"/>
  <c r="M66" i="8"/>
  <c r="L67" i="8"/>
  <c r="M67" i="8" s="1"/>
  <c r="L82" i="8"/>
  <c r="M82" i="8" s="1"/>
  <c r="L83" i="8"/>
  <c r="M83" i="8" s="1"/>
  <c r="J82" i="8"/>
  <c r="J83" i="8"/>
  <c r="J52" i="8" l="1"/>
  <c r="J53" i="8"/>
  <c r="J54" i="8"/>
  <c r="J55" i="8"/>
  <c r="J56" i="8"/>
  <c r="J57" i="8"/>
  <c r="J58" i="8"/>
  <c r="J59" i="8"/>
  <c r="J60" i="8"/>
  <c r="J61" i="8"/>
  <c r="J62" i="8"/>
  <c r="J63" i="8"/>
  <c r="J64" i="8"/>
  <c r="J65" i="8"/>
  <c r="J66" i="8"/>
  <c r="J67" i="8"/>
  <c r="L76" i="8" l="1"/>
  <c r="M76" i="8" s="1"/>
  <c r="L77" i="8"/>
  <c r="M77" i="8" s="1"/>
  <c r="L78" i="8"/>
  <c r="M78" i="8" s="1"/>
  <c r="L79" i="8"/>
  <c r="M79" i="8" s="1"/>
  <c r="L80" i="8"/>
  <c r="M80" i="8" s="1"/>
  <c r="L81" i="8"/>
  <c r="M81" i="8" s="1"/>
  <c r="J76" i="8"/>
  <c r="J77" i="8"/>
  <c r="J78" i="8"/>
  <c r="J79" i="8"/>
  <c r="J80" i="8"/>
  <c r="J81" i="8"/>
  <c r="L75" i="8" l="1"/>
  <c r="M75" i="8" s="1"/>
  <c r="J75" i="8"/>
  <c r="L74" i="8"/>
  <c r="M74" i="8" s="1"/>
  <c r="J74" i="8"/>
  <c r="L73" i="8"/>
  <c r="M73" i="8" s="1"/>
  <c r="J73" i="8"/>
  <c r="L72" i="8"/>
  <c r="M72" i="8" s="1"/>
  <c r="J72" i="8"/>
  <c r="L71" i="8"/>
  <c r="M71" i="8" s="1"/>
  <c r="J71" i="8"/>
  <c r="L70" i="8"/>
  <c r="M70" i="8" s="1"/>
  <c r="J70" i="8"/>
  <c r="L69" i="8"/>
  <c r="M69" i="8" s="1"/>
  <c r="J69" i="8"/>
  <c r="L68" i="8"/>
  <c r="M68" i="8" s="1"/>
  <c r="J68" i="8"/>
  <c r="L36" i="8"/>
  <c r="M36" i="8" s="1"/>
  <c r="L37" i="8"/>
  <c r="M37" i="8" s="1"/>
  <c r="L38" i="8"/>
  <c r="M38" i="8" s="1"/>
  <c r="L39" i="8"/>
  <c r="M39" i="8" s="1"/>
  <c r="L40" i="8"/>
  <c r="M40" i="8" s="1"/>
  <c r="L41" i="8"/>
  <c r="M41" i="8" s="1"/>
  <c r="L42" i="8"/>
  <c r="M42" i="8" s="1"/>
  <c r="L43" i="8"/>
  <c r="M43" i="8" s="1"/>
  <c r="L44" i="8"/>
  <c r="M44" i="8" s="1"/>
  <c r="L45" i="8"/>
  <c r="M45" i="8" s="1"/>
  <c r="L46" i="8"/>
  <c r="M46" i="8" s="1"/>
  <c r="L47" i="8"/>
  <c r="M47" i="8" s="1"/>
  <c r="L48" i="8"/>
  <c r="M48" i="8" s="1"/>
  <c r="L49" i="8"/>
  <c r="M49" i="8" s="1"/>
  <c r="L50" i="8"/>
  <c r="M50" i="8" s="1"/>
  <c r="L51" i="8"/>
  <c r="M51" i="8" s="1"/>
  <c r="J36" i="8"/>
  <c r="J37" i="8"/>
  <c r="J38" i="8"/>
  <c r="J39" i="8"/>
  <c r="J40" i="8"/>
  <c r="J41" i="8"/>
  <c r="J42" i="8"/>
  <c r="J43" i="8"/>
  <c r="J44" i="8"/>
  <c r="J45" i="8"/>
  <c r="J46" i="8"/>
  <c r="J47" i="8"/>
  <c r="J48" i="8"/>
  <c r="J49" i="8"/>
  <c r="J50" i="8"/>
  <c r="J51" i="8"/>
  <c r="L35" i="8"/>
  <c r="M35" i="8" s="1"/>
  <c r="J35" i="8"/>
  <c r="L34" i="8"/>
  <c r="M34" i="8" s="1"/>
  <c r="J34" i="8"/>
  <c r="L33" i="8"/>
  <c r="M33" i="8" s="1"/>
  <c r="J33" i="8"/>
  <c r="L32" i="8"/>
  <c r="M32" i="8" s="1"/>
  <c r="J32" i="8"/>
  <c r="L31" i="8"/>
  <c r="M31" i="8" s="1"/>
  <c r="J31" i="8"/>
  <c r="L30" i="8"/>
  <c r="M30" i="8" s="1"/>
  <c r="J30" i="8"/>
  <c r="L29" i="8"/>
  <c r="M29" i="8" s="1"/>
  <c r="J29" i="8"/>
  <c r="L28" i="8"/>
  <c r="M28" i="8" s="1"/>
  <c r="J28" i="8"/>
  <c r="L27" i="8"/>
  <c r="M27" i="8" s="1"/>
  <c r="J27" i="8"/>
  <c r="L26" i="8"/>
  <c r="M26" i="8" s="1"/>
  <c r="J26" i="8"/>
  <c r="L25" i="8"/>
  <c r="M25" i="8" s="1"/>
  <c r="J25" i="8"/>
  <c r="L24" i="8"/>
  <c r="M24" i="8" s="1"/>
  <c r="L23" i="8"/>
  <c r="M23" i="8" s="1"/>
  <c r="L22" i="8"/>
  <c r="M22" i="8" s="1"/>
  <c r="L21" i="8"/>
  <c r="M21" i="8" s="1"/>
  <c r="L20" i="8"/>
  <c r="M20" i="8" s="1"/>
  <c r="L19" i="8"/>
  <c r="M19" i="8" s="1"/>
  <c r="L18" i="8"/>
  <c r="M18" i="8" s="1"/>
  <c r="L17" i="8"/>
  <c r="M17" i="8" s="1"/>
  <c r="L16" i="8"/>
  <c r="M16" i="8" s="1"/>
  <c r="L15" i="8"/>
  <c r="M15" i="8" s="1"/>
  <c r="L14" i="8"/>
  <c r="M14" i="8" s="1"/>
  <c r="L13" i="8"/>
  <c r="M13" i="8" s="1"/>
  <c r="L12" i="8"/>
  <c r="M12" i="8" s="1"/>
  <c r="L11" i="8"/>
  <c r="M11" i="8" s="1"/>
  <c r="L10" i="8"/>
  <c r="M10" i="8" s="1"/>
  <c r="L9" i="8"/>
  <c r="M9" i="8" s="1"/>
  <c r="L8" i="8"/>
  <c r="M8" i="8" s="1"/>
  <c r="L7" i="8"/>
  <c r="L6" i="8"/>
  <c r="M6" i="8" s="1"/>
  <c r="L5" i="8"/>
  <c r="M5" i="8" s="1"/>
  <c r="M7" i="8" l="1"/>
  <c r="M43" i="4"/>
  <c r="L43" i="4"/>
  <c r="J43" i="4"/>
  <c r="M42" i="4"/>
  <c r="L42" i="4"/>
  <c r="J42" i="4"/>
  <c r="M41" i="4" l="1"/>
  <c r="M40" i="4"/>
  <c r="L41" i="4"/>
  <c r="L40" i="4"/>
  <c r="J41" i="4"/>
  <c r="J40" i="4"/>
  <c r="M39" i="4"/>
  <c r="L39" i="4"/>
  <c r="L38" i="4"/>
  <c r="M38" i="4" s="1"/>
  <c r="J39" i="4"/>
  <c r="J38" i="4"/>
  <c r="L37" i="4" l="1"/>
  <c r="M37" i="4" s="1"/>
  <c r="L36" i="4"/>
  <c r="M36" i="4" s="1"/>
  <c r="L35" i="4"/>
  <c r="M35" i="4" s="1"/>
  <c r="L34" i="4" l="1"/>
  <c r="M34" i="4" s="1"/>
  <c r="L33" i="4"/>
  <c r="M33" i="4" s="1"/>
  <c r="J37" i="4"/>
  <c r="J36" i="4"/>
  <c r="J35" i="4"/>
  <c r="J34" i="4"/>
  <c r="J33" i="4"/>
  <c r="L25" i="4" l="1"/>
  <c r="M25" i="4" s="1"/>
  <c r="L26" i="4"/>
  <c r="M26" i="4" s="1"/>
  <c r="L27" i="4"/>
  <c r="M27" i="4" s="1"/>
  <c r="L28" i="4"/>
  <c r="M28" i="4" s="1"/>
  <c r="L29" i="4"/>
  <c r="M29" i="4" s="1"/>
  <c r="L30" i="4"/>
  <c r="M30" i="4" s="1"/>
  <c r="L31" i="4"/>
  <c r="M31" i="4" s="1"/>
  <c r="L32" i="4"/>
  <c r="M32" i="4" s="1"/>
  <c r="J26" i="4"/>
  <c r="J27" i="4"/>
  <c r="J28" i="4"/>
  <c r="J29" i="4"/>
  <c r="J30" i="4"/>
  <c r="J31" i="4"/>
  <c r="J32" i="4"/>
  <c r="J25" i="4"/>
  <c r="H3" i="4" l="1"/>
  <c r="J3" i="4"/>
  <c r="L6" i="4"/>
  <c r="M6" i="4" s="1"/>
  <c r="L7" i="4"/>
  <c r="M7" i="4" s="1"/>
  <c r="L8" i="4"/>
  <c r="M8" i="4" s="1"/>
  <c r="L9" i="4"/>
  <c r="M9" i="4" s="1"/>
  <c r="L10" i="4"/>
  <c r="M10" i="4" s="1"/>
  <c r="L11" i="4"/>
  <c r="M11" i="4" s="1"/>
  <c r="L12" i="4"/>
  <c r="M12" i="4" s="1"/>
  <c r="L13" i="4"/>
  <c r="M13" i="4" s="1"/>
  <c r="L14" i="4"/>
  <c r="M14" i="4" s="1"/>
  <c r="L15" i="4"/>
  <c r="M15" i="4" s="1"/>
  <c r="L16" i="4"/>
  <c r="M16" i="4" s="1"/>
  <c r="L17" i="4"/>
  <c r="M17" i="4" s="1"/>
  <c r="L18" i="4"/>
  <c r="M18" i="4" s="1"/>
  <c r="L19" i="4"/>
  <c r="M19" i="4" s="1"/>
  <c r="L20" i="4"/>
  <c r="M20" i="4" s="1"/>
  <c r="L21" i="4"/>
  <c r="M21" i="4" s="1"/>
  <c r="L22" i="4"/>
  <c r="M22" i="4" s="1"/>
  <c r="L23" i="4"/>
  <c r="M23" i="4" s="1"/>
  <c r="L24" i="4"/>
  <c r="M24" i="4" s="1"/>
  <c r="L5" i="4"/>
  <c r="M5" i="4" s="1"/>
  <c r="L3" i="4" l="1"/>
  <c r="M3" i="4"/>
</calcChain>
</file>

<file path=xl/sharedStrings.xml><?xml version="1.0" encoding="utf-8"?>
<sst xmlns="http://schemas.openxmlformats.org/spreadsheetml/2006/main" count="727" uniqueCount="170">
  <si>
    <t/>
  </si>
  <si>
    <t>NRGP000457</t>
  </si>
  <si>
    <t>BEIL INFRASTRUCTURE LIMITED</t>
  </si>
  <si>
    <t>MEE SALT</t>
  </si>
  <si>
    <t>KGS</t>
  </si>
  <si>
    <t>GJ09Z-1837</t>
  </si>
  <si>
    <t>NRGP000458</t>
  </si>
  <si>
    <t>GJ05AV-9175</t>
  </si>
  <si>
    <t>SHUBHAM FERTILIZERS &amp; CHEMICALS</t>
  </si>
  <si>
    <t>NRGP000462</t>
  </si>
  <si>
    <t>ANVI ENTERPRISES</t>
  </si>
  <si>
    <t>BOILER FLY ASH</t>
  </si>
  <si>
    <t>GJ12AT5337</t>
  </si>
  <si>
    <t>NRGP000464</t>
  </si>
  <si>
    <t>GREEN GENE ENVIRO PROTECTION AND</t>
  </si>
  <si>
    <t>PROCESS RESIDUE</t>
  </si>
  <si>
    <t>GJ06ZZ8721</t>
  </si>
  <si>
    <t>NRGP000465</t>
  </si>
  <si>
    <t>KHODIYAR ENTERPRISE</t>
  </si>
  <si>
    <t>GJ16AY0910</t>
  </si>
  <si>
    <t>NRGP000467</t>
  </si>
  <si>
    <t>GJ08W-0417</t>
  </si>
  <si>
    <t>NRGP000468</t>
  </si>
  <si>
    <t>GJ06VV-8082</t>
  </si>
  <si>
    <t>NRGP000469</t>
  </si>
  <si>
    <t>NRGP000472</t>
  </si>
  <si>
    <t>NRGP000473</t>
  </si>
  <si>
    <t>GJ21Y8046</t>
  </si>
  <si>
    <t>NRGP000474</t>
  </si>
  <si>
    <t>GJ08W0417</t>
  </si>
  <si>
    <t>NRGP000475</t>
  </si>
  <si>
    <t>GJ06AX-3475</t>
  </si>
  <si>
    <t>NRGP000478</t>
  </si>
  <si>
    <t>NRGP000479</t>
  </si>
  <si>
    <t>GJ05AV-4530</t>
  </si>
  <si>
    <t>NRGP000480</t>
  </si>
  <si>
    <t>GJ16W-5331</t>
  </si>
  <si>
    <t>NRGP000483</t>
  </si>
  <si>
    <t>CHHATRAL ENVIRONMENT MANAGEMENT SYS</t>
  </si>
  <si>
    <t>STRIPPER SOLVENT</t>
  </si>
  <si>
    <t>GJ16AY8102</t>
  </si>
  <si>
    <t>NRGP000485</t>
  </si>
  <si>
    <t>NRGP000493</t>
  </si>
  <si>
    <t>GJ06BV-7315</t>
  </si>
  <si>
    <t>NRGP000495</t>
  </si>
  <si>
    <t>GJ16W5331</t>
  </si>
  <si>
    <t>NRGP000498</t>
  </si>
  <si>
    <t>STRIPER SOLVENT</t>
  </si>
  <si>
    <t>GJ06VV-6686</t>
  </si>
  <si>
    <t>Out. Date</t>
  </si>
  <si>
    <t>Supplier Name</t>
  </si>
  <si>
    <t>Material Code</t>
  </si>
  <si>
    <t>Material Description</t>
  </si>
  <si>
    <t>UOM</t>
  </si>
  <si>
    <t>Quantity Issued</t>
  </si>
  <si>
    <t>Vehicle Number</t>
  </si>
  <si>
    <t>Qty in MT</t>
  </si>
  <si>
    <t>Rate (KG)</t>
  </si>
  <si>
    <t>Value</t>
  </si>
  <si>
    <t>Value (Lakh)</t>
  </si>
  <si>
    <t>Grand Total</t>
  </si>
  <si>
    <t>Qty (MT)</t>
  </si>
  <si>
    <t>Sr No,</t>
  </si>
  <si>
    <t>SHREE RANG TRADING CO</t>
  </si>
  <si>
    <t>DYZENIX GLOBAL</t>
  </si>
  <si>
    <t>GREEN GENE ENVIRO PROTECTION AND INFRAST RUCTURE LIMITED</t>
  </si>
  <si>
    <t>RV0126000001</t>
  </si>
  <si>
    <t>RV0126000002</t>
  </si>
  <si>
    <t>RV0126000003</t>
  </si>
  <si>
    <t>RV0126000005</t>
  </si>
  <si>
    <t>RV0126000006</t>
  </si>
  <si>
    <t>RV0126000007</t>
  </si>
  <si>
    <t>RV0126000010</t>
  </si>
  <si>
    <t>RV0126000012</t>
  </si>
  <si>
    <t>NRGP/ Challan No</t>
  </si>
  <si>
    <t>Sulphuric Acid-SPENT SOLVENT</t>
  </si>
  <si>
    <t>Spent acetic acid  for recovery</t>
  </si>
  <si>
    <t>NRGP000499</t>
  </si>
  <si>
    <t>NRGP000512</t>
  </si>
  <si>
    <t>NRGP000514</t>
  </si>
  <si>
    <t>NRGP000516</t>
  </si>
  <si>
    <t>NRGP000520</t>
  </si>
  <si>
    <t>GJ12AT-5337</t>
  </si>
  <si>
    <t>GJ16AV5556</t>
  </si>
  <si>
    <t>GJ06AX3475</t>
  </si>
  <si>
    <t>NRGP000521</t>
  </si>
  <si>
    <t>GJ07YY3774</t>
  </si>
  <si>
    <t>NRGP000522</t>
  </si>
  <si>
    <t>GJ17Y9570</t>
  </si>
  <si>
    <t>NRGP000524</t>
  </si>
  <si>
    <t>GJ06BV1315</t>
  </si>
  <si>
    <t>NRGP000527</t>
  </si>
  <si>
    <t>NRGP000529</t>
  </si>
  <si>
    <t>GJ01HT2586</t>
  </si>
  <si>
    <t>NRGP000530</t>
  </si>
  <si>
    <t>HIGH AMMONICAL WASTE</t>
  </si>
  <si>
    <t>GJ06VV6686</t>
  </si>
  <si>
    <t>NRGP000533</t>
  </si>
  <si>
    <t>NRGP000534</t>
  </si>
  <si>
    <t>GJ07YY-3774</t>
  </si>
  <si>
    <t>NRGP000535</t>
  </si>
  <si>
    <t>NRGP000536</t>
  </si>
  <si>
    <t>GJ06BX-7291</t>
  </si>
  <si>
    <t>NRGP000539</t>
  </si>
  <si>
    <t>GJ16AY9001</t>
  </si>
  <si>
    <t>RV0126000016</t>
  </si>
  <si>
    <t>RV0126000018</t>
  </si>
  <si>
    <t>RV0126000019</t>
  </si>
  <si>
    <t>RV0126000020</t>
  </si>
  <si>
    <t>RV0126000021</t>
  </si>
  <si>
    <t>RV0126000022</t>
  </si>
  <si>
    <t>GJ16AW/8517</t>
  </si>
  <si>
    <t>GJ19X/9352</t>
  </si>
  <si>
    <t>GJ16AV/7151</t>
  </si>
  <si>
    <t>GJ12BT/4817</t>
  </si>
  <si>
    <t>GJ06AX/7211</t>
  </si>
  <si>
    <t>GJ16W/3623</t>
  </si>
  <si>
    <t>GJ17XX/2615</t>
  </si>
  <si>
    <t>GJ16W3623</t>
  </si>
  <si>
    <t>GJ02VV8711</t>
  </si>
  <si>
    <t>RJ39GA6022</t>
  </si>
  <si>
    <t>GJ16AU5551</t>
  </si>
  <si>
    <t>Date</t>
  </si>
  <si>
    <t>Total</t>
  </si>
  <si>
    <t>NRGP000548</t>
  </si>
  <si>
    <t>GJ16AY-0910</t>
  </si>
  <si>
    <t>NRGP000550</t>
  </si>
  <si>
    <t>SAFE ENVIRO PRIVATE LIMITED</t>
  </si>
  <si>
    <t>GJ06XX-6077</t>
  </si>
  <si>
    <t>NRGP000551</t>
  </si>
  <si>
    <t>GJ11Z-9954</t>
  </si>
  <si>
    <t>NRGP000555</t>
  </si>
  <si>
    <t>NRGP000557</t>
  </si>
  <si>
    <t>131004512</t>
  </si>
  <si>
    <t>KG</t>
  </si>
  <si>
    <t>GJ06YY-7181</t>
  </si>
  <si>
    <t>NRGP000559</t>
  </si>
  <si>
    <t>NRGP000561</t>
  </si>
  <si>
    <t>GJ06XX6077</t>
  </si>
  <si>
    <t>NRGP000562</t>
  </si>
  <si>
    <t>NRGP000573</t>
  </si>
  <si>
    <t>JAY BALAJI COAL</t>
  </si>
  <si>
    <t>GJ06AT-9178</t>
  </si>
  <si>
    <t>NRGP000575</t>
  </si>
  <si>
    <t>GJ16AU7603</t>
  </si>
  <si>
    <t>NRGP000577</t>
  </si>
  <si>
    <t>RECYCLING SOLUTIONS PRIVATE LIMITED</t>
  </si>
  <si>
    <t>GJ06VV8082</t>
  </si>
  <si>
    <t>NRGP000578</t>
  </si>
  <si>
    <t>GJ16AY7608</t>
  </si>
  <si>
    <t>NRGP000587</t>
  </si>
  <si>
    <t>GJ16AW5331</t>
  </si>
  <si>
    <t>NRGP000589</t>
  </si>
  <si>
    <t>GJ06AT9178</t>
  </si>
  <si>
    <t>NRGP000592</t>
  </si>
  <si>
    <t>ECHOGREEN ENERGY SOLUTIONS LLP</t>
  </si>
  <si>
    <t>GJ16AW051</t>
  </si>
  <si>
    <t>GJ06AT-3491</t>
  </si>
  <si>
    <t>NRGP000595</t>
  </si>
  <si>
    <t>RV0126000025</t>
  </si>
  <si>
    <t>RV0126000027</t>
  </si>
  <si>
    <t>Column Labels</t>
  </si>
  <si>
    <t>Apr</t>
  </si>
  <si>
    <t>May</t>
  </si>
  <si>
    <t>Jun</t>
  </si>
  <si>
    <t>Row Labels</t>
  </si>
  <si>
    <t>Sum of Qty in MT</t>
  </si>
  <si>
    <t>Total Sum of Qty in MT</t>
  </si>
  <si>
    <t>Total Sum of Value (Lakh)</t>
  </si>
  <si>
    <t>Sum of Value (Lakh)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</si>
</sst>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#,##0.000"/>
  </numFmts>
  <fonts count="5" x14ac:knownFonts="1">
    <font>
      <sz val="10"/>
      <name val="Arial"/>
    </font>
    <font>
      <b/>
      <sz val="10"/>
      <color theme="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8" tint="-0.249977111117893"/>
        <bgColor theme="4" tint="0.79998168889431442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40">
    <xf numFmtId="0" fontId="0" fillId="0" borderId="0" xfId="0" applyAlignment="1">
      <alignment vertical="top"/>
    </xf>
    <xf numFmtId="0" fontId="0" fillId="0" borderId="1" xfId="0" applyBorder="1" applyAlignment="1">
      <alignment vertical="top"/>
    </xf>
    <xf numFmtId="0" fontId="1" fillId="2" borderId="2" xfId="0" applyFont="1" applyFill="1" applyBorder="1" applyAlignment="1">
      <alignment vertical="top"/>
    </xf>
    <xf numFmtId="43" fontId="0" fillId="0" borderId="1" xfId="1" applyFont="1" applyBorder="1" applyAlignment="1">
      <alignment vertical="top"/>
    </xf>
    <xf numFmtId="0" fontId="1" fillId="2" borderId="10" xfId="0" applyFont="1" applyFill="1" applyBorder="1" applyAlignment="1">
      <alignment vertical="top"/>
    </xf>
    <xf numFmtId="0" fontId="1" fillId="2" borderId="11" xfId="0" applyFont="1" applyFill="1" applyBorder="1" applyAlignment="1">
      <alignment horizontal="center" vertical="top" wrapText="1"/>
    </xf>
    <xf numFmtId="0" fontId="1" fillId="2" borderId="12" xfId="0" applyFont="1" applyFill="1" applyBorder="1" applyAlignment="1">
      <alignment horizontal="center" vertical="top" wrapText="1"/>
    </xf>
    <xf numFmtId="43" fontId="0" fillId="0" borderId="4" xfId="1" applyFont="1" applyBorder="1" applyAlignment="1">
      <alignment vertical="top"/>
    </xf>
    <xf numFmtId="43" fontId="0" fillId="0" borderId="8" xfId="1" applyFont="1" applyBorder="1" applyAlignment="1">
      <alignment vertical="top"/>
    </xf>
    <xf numFmtId="0" fontId="0" fillId="0" borderId="1" xfId="0" applyBorder="1" applyAlignment="1">
      <alignment horizontal="left" vertical="center"/>
    </xf>
    <xf numFmtId="0" fontId="3" fillId="0" borderId="1" xfId="0" applyFont="1" applyBorder="1" applyAlignment="1">
      <alignment vertical="top"/>
    </xf>
    <xf numFmtId="0" fontId="3" fillId="0" borderId="1" xfId="0" applyFont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left" vertical="center"/>
    </xf>
    <xf numFmtId="43" fontId="3" fillId="0" borderId="1" xfId="1" applyFont="1" applyBorder="1" applyAlignment="1">
      <alignment horizontal="right" vertical="top"/>
    </xf>
    <xf numFmtId="0" fontId="3" fillId="0" borderId="1" xfId="0" applyFont="1" applyBorder="1" applyAlignment="1">
      <alignment horizontal="right" vertical="top"/>
    </xf>
    <xf numFmtId="0" fontId="3" fillId="0" borderId="1" xfId="0" applyNumberFormat="1" applyFont="1" applyBorder="1" applyAlignment="1">
      <alignment vertical="top"/>
    </xf>
    <xf numFmtId="0" fontId="3" fillId="0" borderId="1" xfId="0" applyFont="1" applyBorder="1" applyAlignment="1">
      <alignment horizontal="right"/>
    </xf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left" vertical="top"/>
    </xf>
    <xf numFmtId="43" fontId="3" fillId="0" borderId="1" xfId="1" applyFont="1" applyBorder="1" applyAlignment="1">
      <alignment horizontal="center" vertical="top"/>
    </xf>
    <xf numFmtId="164" fontId="3" fillId="0" borderId="1" xfId="0" applyNumberFormat="1" applyFont="1" applyBorder="1" applyAlignment="1">
      <alignment horizontal="right" vertical="top"/>
    </xf>
    <xf numFmtId="0" fontId="0" fillId="0" borderId="13" xfId="0" applyBorder="1" applyAlignment="1">
      <alignment vertical="top"/>
    </xf>
    <xf numFmtId="43" fontId="0" fillId="0" borderId="1" xfId="0" applyNumberFormat="1" applyBorder="1" applyAlignment="1">
      <alignment vertical="top"/>
    </xf>
    <xf numFmtId="0" fontId="3" fillId="0" borderId="13" xfId="0" applyFont="1" applyBorder="1" applyAlignment="1">
      <alignment horizontal="left" vertical="top"/>
    </xf>
    <xf numFmtId="0" fontId="0" fillId="0" borderId="0" xfId="0" pivotButton="1" applyAlignment="1">
      <alignment vertical="top"/>
    </xf>
    <xf numFmtId="0" fontId="0" fillId="0" borderId="0" xfId="0" applyAlignment="1">
      <alignment horizontal="left" vertical="top"/>
    </xf>
    <xf numFmtId="0" fontId="0" fillId="0" borderId="0" xfId="0" applyNumberFormat="1" applyAlignment="1">
      <alignment vertical="top"/>
    </xf>
    <xf numFmtId="43" fontId="0" fillId="0" borderId="5" xfId="1" applyFont="1" applyBorder="1" applyAlignment="1">
      <alignment vertical="top"/>
    </xf>
    <xf numFmtId="43" fontId="0" fillId="0" borderId="6" xfId="1" applyFont="1" applyBorder="1" applyAlignment="1">
      <alignment vertical="top"/>
    </xf>
    <xf numFmtId="0" fontId="1" fillId="2" borderId="14" xfId="0" applyFont="1" applyFill="1" applyBorder="1" applyAlignment="1">
      <alignment vertical="top"/>
    </xf>
    <xf numFmtId="43" fontId="1" fillId="3" borderId="15" xfId="1" applyFont="1" applyFill="1" applyBorder="1" applyAlignment="1">
      <alignment vertical="top"/>
    </xf>
    <xf numFmtId="0" fontId="0" fillId="0" borderId="2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43" fontId="0" fillId="0" borderId="9" xfId="1" applyFont="1" applyBorder="1" applyAlignment="1">
      <alignment vertical="top"/>
    </xf>
    <xf numFmtId="17" fontId="1" fillId="2" borderId="4" xfId="0" applyNumberFormat="1" applyFont="1" applyFill="1" applyBorder="1" applyAlignment="1">
      <alignment horizontal="center" vertical="center"/>
    </xf>
    <xf numFmtId="17" fontId="1" fillId="2" borderId="5" xfId="0" applyNumberFormat="1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hanshyam Sinh Chauhan" refreshedDate="46204.47616770833" createdVersion="6" refreshedVersion="6" minRefreshableVersion="3" recordCount="79" xr:uid="{862360F7-EA2E-4291-9A08-63F2C85012F4}">
  <cacheSource type="worksheet">
    <worksheetSource ref="A4:M83" sheet="DISPOSAL MATERIAL DATA (2)"/>
  </cacheSource>
  <cacheFields count="14">
    <cacheField name="Sr No," numFmtId="0">
      <sharedItems containsSemiMixedTypes="0" containsString="0" containsNumber="1" containsInteger="1" minValue="1" maxValue="63"/>
    </cacheField>
    <cacheField name="Date" numFmtId="14">
      <sharedItems containsSemiMixedTypes="0" containsNonDate="0" containsDate="1" containsString="0" minDate="2026-04-01T00:00:00" maxDate="2026-07-01T00:00:00" count="43">
        <d v="2026-04-01T00:00:00"/>
        <d v="2026-04-02T00:00:00"/>
        <d v="2026-04-06T00:00:00"/>
        <d v="2026-04-08T00:00:00"/>
        <d v="2026-04-13T00:00:00"/>
        <d v="2026-04-14T00:00:00"/>
        <d v="2026-04-15T00:00:00"/>
        <d v="2026-04-17T00:00:00"/>
        <d v="2026-04-19T00:00:00"/>
        <d v="2026-04-21T00:00:00"/>
        <d v="2026-04-24T00:00:00"/>
        <d v="2026-04-25T00:00:00"/>
        <d v="2026-04-30T00:00:00"/>
        <d v="2026-05-01T00:00:00"/>
        <d v="2026-05-09T00:00:00"/>
        <d v="2026-05-12T00:00:00"/>
        <d v="2026-05-14T00:00:00"/>
        <d v="2026-05-15T00:00:00"/>
        <d v="2026-05-16T00:00:00"/>
        <d v="2026-05-19T00:00:00"/>
        <d v="2026-05-20T00:00:00"/>
        <d v="2026-05-23T00:00:00"/>
        <d v="2026-05-24T00:00:00"/>
        <d v="2026-05-27T00:00:00"/>
        <d v="2026-05-30T00:00:00"/>
        <d v="2026-06-05T00:00:00"/>
        <d v="2026-06-06T00:00:00"/>
        <d v="2026-06-09T00:00:00"/>
        <d v="2026-06-10T00:00:00"/>
        <d v="2026-06-13T00:00:00"/>
        <d v="2026-06-22T00:00:00"/>
        <d v="2026-06-26T00:00:00"/>
        <d v="2026-06-29T00:00:00"/>
        <d v="2026-06-30T00:00:00"/>
        <d v="2026-04-04T00:00:00"/>
        <d v="2026-04-07T00:00:00"/>
        <d v="2026-04-11T00:00:00"/>
        <d v="2026-05-02T00:00:00"/>
        <d v="2026-05-17T00:00:00"/>
        <d v="2026-05-18T00:00:00"/>
        <d v="2026-05-26T00:00:00"/>
        <d v="2026-06-15T00:00:00"/>
        <d v="2026-06-25T00:00:00"/>
      </sharedItems>
      <fieldGroup par="13" base="1">
        <rangePr groupBy="days" startDate="2026-04-01T00:00:00" endDate="2026-07-01T00:00:00"/>
        <groupItems count="368">
          <s v="&lt;01-04-2026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1-07-2026"/>
        </groupItems>
      </fieldGroup>
    </cacheField>
    <cacheField name="NRGP/ Challan No" numFmtId="0">
      <sharedItems/>
    </cacheField>
    <cacheField name="Supplier Name" numFmtId="0">
      <sharedItems/>
    </cacheField>
    <cacheField name="Material Code" numFmtId="0">
      <sharedItems containsBlank="1" containsMixedTypes="1" containsNumber="1" containsInteger="1" minValue="151000013" maxValue="151000015"/>
    </cacheField>
    <cacheField name="Material Description" numFmtId="0">
      <sharedItems count="9">
        <s v="MEE SALT"/>
        <s v="BOILER FLY ASH"/>
        <s v="PROCESS RESIDUE"/>
        <s v="STRIPER SOLVENT"/>
        <s v="HIGH AMMONICAL WASTE"/>
        <s v="Sulphuric Acid-SPENT SOLVENT"/>
        <s v="Spent acetic acid  for recovery"/>
        <s v="FLY ASH" u="1"/>
        <s v="STRIPPER SOLVENT" u="1"/>
      </sharedItems>
    </cacheField>
    <cacheField name="UOM" numFmtId="0">
      <sharedItems/>
    </cacheField>
    <cacheField name="Quantity Issued" numFmtId="0">
      <sharedItems containsSemiMixedTypes="0" containsString="0" containsNumber="1" containsInteger="1" minValue="8050" maxValue="36460"/>
    </cacheField>
    <cacheField name="Vehicle Number" numFmtId="0">
      <sharedItems/>
    </cacheField>
    <cacheField name="Qty in MT" numFmtId="0">
      <sharedItems containsSemiMixedTypes="0" containsString="0" containsNumber="1" minValue="8.0500000000000007" maxValue="36.46"/>
    </cacheField>
    <cacheField name="Rate (KG)" numFmtId="0">
      <sharedItems containsSemiMixedTypes="0" containsString="0" containsNumber="1" minValue="-9.5" maxValue="-0.2"/>
    </cacheField>
    <cacheField name="Value" numFmtId="0">
      <sharedItems containsSemiMixedTypes="0" containsString="0" containsNumber="1" containsInteger="1" minValue="-294595" maxValue="-1890"/>
    </cacheField>
    <cacheField name="Value (Lakh)" numFmtId="0">
      <sharedItems containsSemiMixedTypes="0" containsString="0" containsNumber="1" minValue="-2.9459499999999998" maxValue="-1.89E-2"/>
    </cacheField>
    <cacheField name="Months" numFmtId="0" databaseField="0">
      <fieldGroup base="1">
        <rangePr groupBy="months" startDate="2026-04-01T00:00:00" endDate="2026-07-01T00:00:00"/>
        <groupItems count="14">
          <s v="&lt;01-04-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7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9">
  <r>
    <n v="1"/>
    <x v="0"/>
    <s v="NRGP000457"/>
    <s v="BEIL INFRASTRUCTURE LIMITED"/>
    <s v=""/>
    <x v="0"/>
    <s v="KGS"/>
    <n v="23160"/>
    <s v="GJ09Z-1837"/>
    <n v="23.16"/>
    <n v="-2.1"/>
    <n v="-48636"/>
    <n v="-0.48636000000000001"/>
  </r>
  <r>
    <n v="2"/>
    <x v="0"/>
    <s v="NRGP000458"/>
    <s v="BEIL INFRASTRUCTURE LIMITED"/>
    <s v=""/>
    <x v="0"/>
    <s v="KGS"/>
    <n v="24230"/>
    <s v="GJ05AV-9175"/>
    <n v="24.23"/>
    <n v="-2.1"/>
    <n v="-50883"/>
    <n v="-0.50883"/>
  </r>
  <r>
    <n v="3"/>
    <x v="1"/>
    <s v="NRGP000462"/>
    <s v="ANVI ENTERPRISES"/>
    <s v=""/>
    <x v="1"/>
    <s v="KGS"/>
    <n v="21180"/>
    <s v="GJ12AT5337"/>
    <n v="21.18"/>
    <n v="-0.2"/>
    <n v="-4236"/>
    <n v="-4.2360000000000002E-2"/>
  </r>
  <r>
    <n v="4"/>
    <x v="2"/>
    <s v="NRGP000464"/>
    <s v="GREEN GENE ENVIRO PROTECTION AND INFRAST RUCTURE LIMITED"/>
    <s v=""/>
    <x v="2"/>
    <s v="KGS"/>
    <n v="19350"/>
    <s v="GJ06ZZ8721"/>
    <n v="19.350000000000001"/>
    <n v="-8"/>
    <n v="-154800"/>
    <n v="-1.548"/>
  </r>
  <r>
    <n v="5"/>
    <x v="2"/>
    <s v="NRGP000465"/>
    <s v="KHODIYAR ENTERPRISE"/>
    <s v=""/>
    <x v="1"/>
    <s v="KGS"/>
    <n v="21920"/>
    <s v="GJ16AY0910"/>
    <n v="21.92"/>
    <n v="-0.2"/>
    <n v="-4384"/>
    <n v="-4.3839999999999997E-2"/>
  </r>
  <r>
    <n v="6"/>
    <x v="3"/>
    <s v="NRGP000467"/>
    <s v="BEIL INFRASTRUCTURE LIMITED"/>
    <s v=""/>
    <x v="0"/>
    <s v="KGS"/>
    <n v="26260"/>
    <s v="GJ08W-0417"/>
    <n v="26.26"/>
    <n v="-2.1"/>
    <n v="-55146"/>
    <n v="-0.55145999999999995"/>
  </r>
  <r>
    <n v="7"/>
    <x v="3"/>
    <s v="NRGP000468"/>
    <s v="GREEN GENE ENVIRO PROTECTION AND INFRAST RUCTURE LIMITED"/>
    <s v=""/>
    <x v="2"/>
    <s v="KGS"/>
    <n v="20290"/>
    <s v="GJ06VV-8082"/>
    <n v="20.29"/>
    <n v="-8"/>
    <n v="-162320"/>
    <n v="-1.6232"/>
  </r>
  <r>
    <n v="8"/>
    <x v="3"/>
    <s v="NRGP000469"/>
    <s v="BEIL INFRASTRUCTURE LIMITED"/>
    <s v=""/>
    <x v="0"/>
    <s v="KGS"/>
    <n v="22640"/>
    <s v="GJ09Z-1837"/>
    <n v="22.64"/>
    <n v="-2.1"/>
    <n v="-47544"/>
    <n v="-0.47543999999999997"/>
  </r>
  <r>
    <n v="9"/>
    <x v="4"/>
    <s v="NRGP000472"/>
    <s v="ANVI ENTERPRISES"/>
    <s v=""/>
    <x v="1"/>
    <s v="KGS"/>
    <n v="18780"/>
    <s v="GJ12AT5337"/>
    <n v="18.78"/>
    <n v="-0.2"/>
    <n v="-3756"/>
    <n v="-3.7560000000000003E-2"/>
  </r>
  <r>
    <n v="10"/>
    <x v="4"/>
    <s v="NRGP000473"/>
    <s v="BEIL INFRASTRUCTURE LIMITED"/>
    <s v=""/>
    <x v="0"/>
    <s v="KGS"/>
    <n v="23850"/>
    <s v="GJ21Y8046"/>
    <n v="23.85"/>
    <n v="-2.1"/>
    <n v="-50085"/>
    <n v="-0.50085000000000002"/>
  </r>
  <r>
    <n v="11"/>
    <x v="4"/>
    <s v="NRGP000474"/>
    <s v="BEIL INFRASTRUCTURE LIMITED"/>
    <s v=""/>
    <x v="0"/>
    <s v="KGS"/>
    <n v="22940"/>
    <s v="GJ08W0417"/>
    <n v="22.94"/>
    <n v="-2.1"/>
    <n v="-48174"/>
    <n v="-0.48174"/>
  </r>
  <r>
    <n v="12"/>
    <x v="5"/>
    <s v="NRGP000475"/>
    <s v="GREEN GENE ENVIRO PROTECTION AND INFRAST RUCTURE LIMITED"/>
    <s v=""/>
    <x v="2"/>
    <s v="KGS"/>
    <n v="8910"/>
    <s v="GJ06AX-3475"/>
    <n v="8.91"/>
    <n v="-8"/>
    <n v="-71280"/>
    <n v="-0.71279999999999999"/>
  </r>
  <r>
    <n v="13"/>
    <x v="6"/>
    <s v="NRGP000478"/>
    <s v="BEIL INFRASTRUCTURE LIMITED"/>
    <s v=""/>
    <x v="0"/>
    <s v="KGS"/>
    <n v="20450"/>
    <s v="GJ09Z-1837"/>
    <n v="20.45"/>
    <n v="-2.1"/>
    <n v="-42945"/>
    <n v="-0.42945"/>
  </r>
  <r>
    <n v="14"/>
    <x v="6"/>
    <s v="NRGP000479"/>
    <s v="BEIL INFRASTRUCTURE LIMITED"/>
    <s v=""/>
    <x v="0"/>
    <s v="KGS"/>
    <n v="16490"/>
    <s v="GJ05AV-4530"/>
    <n v="16.489999999999998"/>
    <n v="-2.1"/>
    <n v="-34629"/>
    <n v="-0.34628999999999999"/>
  </r>
  <r>
    <n v="15"/>
    <x v="7"/>
    <s v="NRGP000480"/>
    <s v="KHODIYAR ENTERPRISE"/>
    <s v=""/>
    <x v="1"/>
    <s v="KGS"/>
    <n v="15320"/>
    <s v="GJ16W-5331"/>
    <n v="15.32"/>
    <n v="-0.2"/>
    <n v="-3064"/>
    <n v="-3.0640000000000001E-2"/>
  </r>
  <r>
    <n v="16"/>
    <x v="8"/>
    <s v="NRGP000483"/>
    <s v="CHHATRAL ENVIRONMENT MANAGEMENT SYS"/>
    <s v=""/>
    <x v="3"/>
    <s v="KGS"/>
    <n v="21500"/>
    <s v="GJ16AY8102"/>
    <n v="21.5"/>
    <n v="-6.5"/>
    <n v="-139750"/>
    <n v="-1.3975"/>
  </r>
  <r>
    <n v="17"/>
    <x v="9"/>
    <s v="NRGP000485"/>
    <s v="ANVI ENTERPRISES"/>
    <s v=""/>
    <x v="1"/>
    <s v="KGS"/>
    <n v="20640"/>
    <s v="GJ12AT5337"/>
    <n v="20.64"/>
    <n v="-0.2"/>
    <n v="-4128"/>
    <n v="-4.1279999999999997E-2"/>
  </r>
  <r>
    <n v="18"/>
    <x v="10"/>
    <s v="NRGP000493"/>
    <s v="CHHATRAL ENVIRONMENT MANAGEMENT SYS"/>
    <s v=""/>
    <x v="2"/>
    <s v="KGS"/>
    <n v="8710"/>
    <s v="GJ06BV-7315"/>
    <n v="8.7100000000000009"/>
    <n v="-8"/>
    <n v="-69680"/>
    <n v="-0.69679999999999997"/>
  </r>
  <r>
    <n v="19"/>
    <x v="11"/>
    <s v="NRGP000495"/>
    <s v="KHODIYAR ENTERPRISE"/>
    <s v=""/>
    <x v="1"/>
    <s v="KGS"/>
    <n v="16810"/>
    <s v="GJ16W5331"/>
    <n v="16.809999999999999"/>
    <n v="-0.2"/>
    <n v="-3362"/>
    <n v="-3.3619999999999997E-2"/>
  </r>
  <r>
    <n v="20"/>
    <x v="12"/>
    <s v="NRGP000498"/>
    <s v="CHHATRAL ENVIRONMENT MANAGEMENT SYS"/>
    <s v=""/>
    <x v="3"/>
    <s v="KGS"/>
    <n v="21100"/>
    <s v="GJ06VV-6686"/>
    <n v="21.1"/>
    <n v="-6.5"/>
    <n v="-137150"/>
    <n v="-1.3714999999999999"/>
  </r>
  <r>
    <n v="21"/>
    <x v="13"/>
    <s v="NRGP000499"/>
    <s v="ANVI ENTERPRISES"/>
    <m/>
    <x v="1"/>
    <s v="KGS"/>
    <n v="20200"/>
    <s v="GJ12AT-5337"/>
    <n v="20.2"/>
    <n v="-0.2"/>
    <n v="-4040"/>
    <n v="-4.0399999999999998E-2"/>
  </r>
  <r>
    <n v="22"/>
    <x v="14"/>
    <s v="NRGP000512"/>
    <s v="KHODIYAR ENTERPRISE"/>
    <m/>
    <x v="1"/>
    <s v="KGS"/>
    <n v="15760"/>
    <s v="GJ16W5331"/>
    <n v="15.76"/>
    <n v="-0.2"/>
    <n v="-3152"/>
    <n v="-3.1519999999999999E-2"/>
  </r>
  <r>
    <n v="23"/>
    <x v="15"/>
    <s v="NRGP000514"/>
    <s v="GREEN GENE ENVIRO PROTECTION AND INFRAST RUCTURE LIMITED"/>
    <m/>
    <x v="3"/>
    <s v="KGS"/>
    <n v="20760"/>
    <s v="GJ16AV5556"/>
    <n v="20.76"/>
    <n v="-9"/>
    <n v="-186840"/>
    <n v="-1.8684000000000001"/>
  </r>
  <r>
    <n v="24"/>
    <x v="16"/>
    <s v="NRGP000516"/>
    <s v="ANVI ENTERPRISES"/>
    <m/>
    <x v="1"/>
    <s v="KGS"/>
    <n v="19570"/>
    <s v="GJ12AT-5337"/>
    <n v="19.57"/>
    <n v="-0.2"/>
    <n v="-3914"/>
    <n v="-3.9140000000000001E-2"/>
  </r>
  <r>
    <n v="25"/>
    <x v="17"/>
    <s v="NRGP000520"/>
    <s v="GREEN GENE ENVIRO PROTECTION AND INFRAST RUCTURE LIMITED"/>
    <m/>
    <x v="2"/>
    <s v="KGS"/>
    <n v="8050"/>
    <s v="GJ06AX3475"/>
    <n v="8.0500000000000007"/>
    <n v="-9"/>
    <n v="-72450"/>
    <n v="-0.72450000000000003"/>
  </r>
  <r>
    <n v="26"/>
    <x v="18"/>
    <s v="NRGP000521"/>
    <s v="BEIL INFRASTRUCTURE LIMITED"/>
    <s v=""/>
    <x v="0"/>
    <s v="KGS"/>
    <n v="25750"/>
    <s v="GJ07YY3774"/>
    <n v="25.75"/>
    <n v="-2.6"/>
    <n v="-66950"/>
    <n v="-0.66949999999999998"/>
  </r>
  <r>
    <n v="27"/>
    <x v="18"/>
    <s v="NRGP000522"/>
    <s v="BEIL INFRASTRUCTURE LIMITED"/>
    <s v=""/>
    <x v="0"/>
    <s v="KGS"/>
    <n v="21100"/>
    <s v="GJ17Y9570"/>
    <n v="21.1"/>
    <n v="-2.6"/>
    <n v="-54860"/>
    <n v="-0.54859999999999998"/>
  </r>
  <r>
    <n v="28"/>
    <x v="19"/>
    <s v="NRGP000524"/>
    <s v="GREEN GENE ENVIRO PROTECTION AND INFRAST RUCTURE LIMITED"/>
    <s v=""/>
    <x v="3"/>
    <s v="KGS"/>
    <n v="20470"/>
    <s v="GJ06BV1315"/>
    <n v="20.47"/>
    <n v="-9"/>
    <n v="-184230"/>
    <n v="-1.8423"/>
  </r>
  <r>
    <n v="29"/>
    <x v="20"/>
    <s v="NRGP000527"/>
    <s v="KHODIYAR ENTERPRISE"/>
    <s v=""/>
    <x v="1"/>
    <s v="KGS"/>
    <n v="16780"/>
    <s v="GJ16W5331"/>
    <n v="16.78"/>
    <n v="-0.2"/>
    <n v="-3356"/>
    <n v="-3.356E-2"/>
  </r>
  <r>
    <n v="30"/>
    <x v="21"/>
    <s v="NRGP000529"/>
    <s v="CHHATRAL ENVIRONMENT MANAGEMENT SYS"/>
    <m/>
    <x v="2"/>
    <s v="KGS"/>
    <n v="9480"/>
    <s v="GJ01HT2586"/>
    <n v="9.48"/>
    <n v="-8"/>
    <n v="-75840"/>
    <n v="-0.75839999999999996"/>
  </r>
  <r>
    <n v="31"/>
    <x v="22"/>
    <s v="NRGP000530"/>
    <s v="CHHATRAL ENVIRONMENT MANAGEMENT SYS"/>
    <m/>
    <x v="4"/>
    <s v="KGS"/>
    <n v="21220"/>
    <s v="GJ06VV6686"/>
    <n v="21.22"/>
    <n v="-8"/>
    <n v="-169760"/>
    <n v="-1.6976"/>
  </r>
  <r>
    <n v="32"/>
    <x v="13"/>
    <s v="NRGP000499"/>
    <s v="ANVI ENTERPRISES"/>
    <s v=""/>
    <x v="1"/>
    <s v="KGS"/>
    <n v="20200"/>
    <s v="GJ12AT-5337"/>
    <n v="20.2"/>
    <n v="-0.2"/>
    <n v="-4040"/>
    <n v="-4.0399999999999998E-2"/>
  </r>
  <r>
    <n v="33"/>
    <x v="14"/>
    <s v="NRGP000512"/>
    <s v="KHODIYAR ENTERPRISE"/>
    <s v=""/>
    <x v="1"/>
    <s v="KGS"/>
    <n v="15760"/>
    <s v="GJ16W5331"/>
    <n v="15.76"/>
    <n v="-0.2"/>
    <n v="-3152"/>
    <n v="-3.1519999999999999E-2"/>
  </r>
  <r>
    <n v="34"/>
    <x v="15"/>
    <s v="NRGP000514"/>
    <s v="GREEN GENE ENVIRO PROTECTION AND INFRAST RUCTURE LIMITED"/>
    <s v=""/>
    <x v="3"/>
    <s v="KGS"/>
    <n v="20760"/>
    <s v="GJ16AV5556"/>
    <n v="20.76"/>
    <n v="-9"/>
    <n v="-186840"/>
    <n v="-1.8684000000000001"/>
  </r>
  <r>
    <n v="35"/>
    <x v="16"/>
    <s v="NRGP000516"/>
    <s v="ANVI ENTERPRISES"/>
    <s v=""/>
    <x v="1"/>
    <s v="KGS"/>
    <n v="19570"/>
    <s v="GJ12AT-5337"/>
    <n v="19.57"/>
    <n v="-0.2"/>
    <n v="-3914"/>
    <n v="-3.9140000000000001E-2"/>
  </r>
  <r>
    <n v="36"/>
    <x v="17"/>
    <s v="NRGP000520"/>
    <s v="GREEN GENE ENVIRO PROTECTION AND INFRAST RUCTURE LIMITED"/>
    <s v=""/>
    <x v="2"/>
    <s v="KGS"/>
    <n v="8050"/>
    <s v="GJ06AX3475"/>
    <n v="8.0500000000000007"/>
    <n v="-9"/>
    <n v="-72450"/>
    <n v="-0.72450000000000003"/>
  </r>
  <r>
    <n v="37"/>
    <x v="18"/>
    <s v="NRGP000521"/>
    <s v="BEIL INFRASTRUCTURE LIMITED"/>
    <s v=""/>
    <x v="0"/>
    <s v="KGS"/>
    <n v="25750"/>
    <s v="GJ07YY3774"/>
    <n v="25.75"/>
    <n v="-2.6"/>
    <n v="-66950"/>
    <n v="-0.66949999999999998"/>
  </r>
  <r>
    <n v="38"/>
    <x v="18"/>
    <s v="NRGP000522"/>
    <s v="BEIL INFRASTRUCTURE LIMITED"/>
    <s v=""/>
    <x v="0"/>
    <s v="KGS"/>
    <n v="21100"/>
    <s v="GJ17Y9570"/>
    <n v="21.1"/>
    <n v="-2.6"/>
    <n v="-54860"/>
    <n v="-0.54859999999999998"/>
  </r>
  <r>
    <n v="39"/>
    <x v="19"/>
    <s v="NRGP000524"/>
    <s v="GREEN GENE ENVIRO PROTECTION AND INFRAST RUCTURE LIMITED"/>
    <s v=""/>
    <x v="3"/>
    <s v="KGS"/>
    <n v="20470"/>
    <s v="GJ06BV1315"/>
    <n v="20.47"/>
    <n v="-9"/>
    <n v="-184230"/>
    <n v="-1.8423"/>
  </r>
  <r>
    <n v="40"/>
    <x v="20"/>
    <s v="NRGP000527"/>
    <s v="KHODIYAR ENTERPRISE"/>
    <s v=""/>
    <x v="1"/>
    <s v="KGS"/>
    <n v="16780"/>
    <s v="GJ16W5331"/>
    <n v="16.78"/>
    <n v="-0.2"/>
    <n v="-3356"/>
    <n v="-3.356E-2"/>
  </r>
  <r>
    <n v="41"/>
    <x v="21"/>
    <s v="NRGP000529"/>
    <s v="CHHATRAL ENVIRONMENT MANAGEMENT SYS"/>
    <s v=""/>
    <x v="2"/>
    <s v="KGS"/>
    <n v="9480"/>
    <s v="GJ01HT2586"/>
    <n v="9.48"/>
    <n v="-8"/>
    <n v="-75840"/>
    <n v="-0.75839999999999996"/>
  </r>
  <r>
    <n v="42"/>
    <x v="22"/>
    <s v="NRGP000530"/>
    <s v="CHHATRAL ENVIRONMENT MANAGEMENT SYS"/>
    <s v=""/>
    <x v="4"/>
    <s v="KGS"/>
    <n v="21220"/>
    <s v="GJ06VV6686"/>
    <n v="21.22"/>
    <n v="-8"/>
    <n v="-169760"/>
    <n v="-1.6976"/>
  </r>
  <r>
    <n v="43"/>
    <x v="23"/>
    <s v="NRGP000533"/>
    <s v="KHODIYAR ENTERPRISE"/>
    <s v=""/>
    <x v="1"/>
    <s v="KGS"/>
    <n v="18180"/>
    <s v="GJ16W5331"/>
    <n v="18.18"/>
    <n v="-0.2"/>
    <n v="-3636"/>
    <n v="-3.6360000000000003E-2"/>
  </r>
  <r>
    <n v="44"/>
    <x v="23"/>
    <s v="NRGP000534"/>
    <s v="BEIL INFRASTRUCTURE LIMITED"/>
    <s v=""/>
    <x v="0"/>
    <s v="KGS"/>
    <n v="24130"/>
    <s v="GJ07YY-3774"/>
    <n v="24.13"/>
    <n v="-2.6"/>
    <n v="-62738"/>
    <n v="-0.62738000000000005"/>
  </r>
  <r>
    <n v="45"/>
    <x v="23"/>
    <s v="NRGP000535"/>
    <s v="BEIL INFRASTRUCTURE LIMITED"/>
    <s v=""/>
    <x v="0"/>
    <s v="KGS"/>
    <n v="19360"/>
    <s v=""/>
    <n v="19.36"/>
    <n v="-2.6"/>
    <n v="-50336"/>
    <n v="-0.50336000000000003"/>
  </r>
  <r>
    <n v="46"/>
    <x v="23"/>
    <s v="NRGP000536"/>
    <s v="GREEN GENE ENVIRO PROTECTION AND INFRAST RUCTURE LIMITED"/>
    <s v=""/>
    <x v="3"/>
    <s v="KGS"/>
    <n v="22200"/>
    <s v="GJ06BX-7291"/>
    <n v="22.2"/>
    <n v="-9"/>
    <n v="-199800"/>
    <n v="-1.998"/>
  </r>
  <r>
    <n v="47"/>
    <x v="24"/>
    <s v="NRGP000539"/>
    <s v="KHODIYAR ENTERPRISE"/>
    <s v=""/>
    <x v="1"/>
    <s v="KGS"/>
    <n v="22240"/>
    <s v="GJ16AY9001"/>
    <n v="22.24"/>
    <n v="-0.2"/>
    <n v="-4448"/>
    <n v="-4.4479999999999999E-2"/>
  </r>
  <r>
    <n v="48"/>
    <x v="25"/>
    <s v="NRGP000548"/>
    <s v="KHODIYAR ENTERPRISE"/>
    <s v=""/>
    <x v="1"/>
    <s v="KGS"/>
    <n v="28020"/>
    <s v="GJ16AY-0910"/>
    <n v="28.02"/>
    <n v="-0.2"/>
    <n v="-5604"/>
    <n v="-5.604E-2"/>
  </r>
  <r>
    <n v="49"/>
    <x v="26"/>
    <s v="NRGP000550"/>
    <s v="SAFE ENVIRO PRIVATE LIMITED"/>
    <s v=""/>
    <x v="0"/>
    <s v="KGS"/>
    <n v="26070"/>
    <s v="GJ06XX-6077"/>
    <n v="26.07"/>
    <n v="-2.6"/>
    <n v="-67782"/>
    <n v="-0.67781999999999998"/>
  </r>
  <r>
    <n v="50"/>
    <x v="26"/>
    <s v="NRGP000551"/>
    <s v="SAFE ENVIRO PRIVATE LIMITED"/>
    <s v=""/>
    <x v="0"/>
    <s v="KGS"/>
    <n v="16730"/>
    <s v="GJ11Z-9954"/>
    <n v="16.73"/>
    <n v="-2.6"/>
    <n v="-43498"/>
    <n v="-0.43497999999999998"/>
  </r>
  <r>
    <n v="51"/>
    <x v="27"/>
    <s v="NRGP000555"/>
    <s v="KHODIYAR ENTERPRISE"/>
    <s v=""/>
    <x v="1"/>
    <s v="KGS"/>
    <n v="25490"/>
    <s v="GJ16AY9001"/>
    <n v="25.49"/>
    <n v="-0.2"/>
    <n v="-5098"/>
    <n v="-5.0979999999999998E-2"/>
  </r>
  <r>
    <n v="52"/>
    <x v="28"/>
    <s v="NRGP000557"/>
    <s v="GREEN GENE ENVIRO PROTECTION AND"/>
    <s v="131004512"/>
    <x v="3"/>
    <s v="KG"/>
    <n v="22380"/>
    <s v="GJ06YY-7181"/>
    <n v="22.38"/>
    <n v="-9"/>
    <n v="-201420"/>
    <n v="-2.0142000000000002"/>
  </r>
  <r>
    <n v="53"/>
    <x v="29"/>
    <s v="NRGP000559"/>
    <s v="KHODIYAR ENTERPRISE"/>
    <s v=""/>
    <x v="1"/>
    <s v="KGS"/>
    <n v="16070"/>
    <s v="GJ16W-5331"/>
    <n v="16.07"/>
    <n v="-0.2"/>
    <n v="-3214"/>
    <n v="-3.2140000000000002E-2"/>
  </r>
  <r>
    <n v="54"/>
    <x v="29"/>
    <s v="NRGP000561"/>
    <s v="BEIL INFRASTRUCTURE LIMITED"/>
    <s v=""/>
    <x v="0"/>
    <s v="KGS"/>
    <n v="27200"/>
    <s v="GJ06XX6077"/>
    <n v="27.2"/>
    <n v="-2.6"/>
    <n v="-70720"/>
    <n v="-0.70720000000000005"/>
  </r>
  <r>
    <n v="55"/>
    <x v="29"/>
    <s v="NRGP000562"/>
    <s v="SAFE ENVIRO PRIVATE LIMITED"/>
    <s v=""/>
    <x v="0"/>
    <s v="KGS"/>
    <n v="27200"/>
    <s v="GJ06XX-6077"/>
    <n v="27.2"/>
    <n v="-2.6"/>
    <n v="-70720"/>
    <n v="-0.70720000000000005"/>
  </r>
  <r>
    <n v="56"/>
    <x v="30"/>
    <s v="NRGP000573"/>
    <s v="JAY BALAJI COAL"/>
    <s v=""/>
    <x v="1"/>
    <s v="KGS"/>
    <n v="10740"/>
    <s v="GJ06AT-9178"/>
    <n v="10.74"/>
    <n v="-0.2"/>
    <n v="-2148"/>
    <n v="-2.1479999999999999E-2"/>
  </r>
  <r>
    <n v="57"/>
    <x v="30"/>
    <s v="NRGP000575"/>
    <s v="KHODIYAR ENTERPRISE"/>
    <s v=""/>
    <x v="1"/>
    <s v="KGS"/>
    <n v="23260"/>
    <s v="GJ16AU7603"/>
    <n v="23.26"/>
    <n v="-0.2"/>
    <n v="-4652"/>
    <n v="-4.6519999999999999E-2"/>
  </r>
  <r>
    <n v="58"/>
    <x v="30"/>
    <s v="NRGP000577"/>
    <s v="RECYCLING SOLUTIONS PRIVATE LIMITED"/>
    <s v=""/>
    <x v="3"/>
    <s v="KGS"/>
    <n v="19890"/>
    <s v="GJ06VV8082"/>
    <n v="19.89"/>
    <n v="-9"/>
    <n v="-179010"/>
    <n v="-1.7901"/>
  </r>
  <r>
    <n v="59"/>
    <x v="30"/>
    <s v="NRGP000578"/>
    <s v="CHHATRAL ENVIRONMENT MANAGEMENT SYS"/>
    <s v=""/>
    <x v="2"/>
    <s v="KGS"/>
    <n v="8490"/>
    <s v="GJ16AY7608"/>
    <n v="8.49"/>
    <n v="-8"/>
    <n v="-67920"/>
    <n v="-0.67920000000000003"/>
  </r>
  <r>
    <n v="60"/>
    <x v="31"/>
    <s v="NRGP000587"/>
    <s v="KHODIYAR ENTERPRISE"/>
    <s v=""/>
    <x v="1"/>
    <s v="KGS"/>
    <n v="16670"/>
    <s v="GJ16AW5331"/>
    <n v="16.670000000000002"/>
    <n v="-0.2"/>
    <n v="-3334"/>
    <n v="-3.3340000000000002E-2"/>
  </r>
  <r>
    <n v="61"/>
    <x v="32"/>
    <s v="NRGP000589"/>
    <s v="JAY BALAJI COAL"/>
    <s v=""/>
    <x v="1"/>
    <s v="KGS"/>
    <n v="9450"/>
    <s v="GJ06AT9178"/>
    <n v="9.4499999999999993"/>
    <n v="-0.2"/>
    <n v="-1890"/>
    <n v="-1.89E-2"/>
  </r>
  <r>
    <n v="62"/>
    <x v="32"/>
    <s v="NRGP000592"/>
    <s v="ECHOGREEN ENERGY SOLUTIONS LLP"/>
    <s v=""/>
    <x v="3"/>
    <s v="KGS"/>
    <n v="21090"/>
    <s v="GJ16AW051"/>
    <n v="21.09"/>
    <n v="-9"/>
    <n v="-189810"/>
    <n v="-1.8980999999999999"/>
  </r>
  <r>
    <n v="63"/>
    <x v="33"/>
    <s v="NRGP000595"/>
    <s v="SAFE ENVIRO PRIVATE LIMITED"/>
    <s v=""/>
    <x v="0"/>
    <s v="KGS"/>
    <n v="21100"/>
    <s v="GJ06AT-3491"/>
    <n v="21.1"/>
    <n v="-2.6"/>
    <n v="-54860"/>
    <n v="-0.54859999999999998"/>
  </r>
  <r>
    <n v="48"/>
    <x v="34"/>
    <s v="RV0126000001"/>
    <s v="SHREE RANG TRADING CO"/>
    <n v="151000015"/>
    <x v="5"/>
    <s v="KGS"/>
    <n v="33630"/>
    <s v="GJ16AW/8517"/>
    <n v="33.630000000000003"/>
    <n v="-1"/>
    <n v="-33630"/>
    <n v="-0.33629999999999999"/>
  </r>
  <r>
    <n v="49"/>
    <x v="2"/>
    <s v="RV0126000002"/>
    <s v="DYZENIX GLOBAL"/>
    <n v="151000013"/>
    <x v="6"/>
    <s v="KGS"/>
    <n v="20420"/>
    <s v="GJ19X/9352"/>
    <n v="20.420000000000002"/>
    <n v="-8"/>
    <n v="-163360"/>
    <n v="-1.6335999999999999"/>
  </r>
  <r>
    <n v="50"/>
    <x v="35"/>
    <s v="RV0126000003"/>
    <s v="SHUBHAM FERTILIZERS &amp; CHEMICALS"/>
    <n v="151000015"/>
    <x v="5"/>
    <s v="KGS"/>
    <n v="36460"/>
    <s v="GJ16AV/7151"/>
    <n v="36.46"/>
    <n v="-1.5"/>
    <n v="-54690"/>
    <n v="-0.54690000000000005"/>
  </r>
  <r>
    <n v="51"/>
    <x v="36"/>
    <s v="RV0126000005"/>
    <s v="GREEN GENE ENVIRO PROTECTION AND INFRAST RUCTURE LIMITED"/>
    <n v="151000013"/>
    <x v="6"/>
    <s v="KGS"/>
    <n v="21030"/>
    <s v="GJ12BT/4817"/>
    <n v="21.03"/>
    <n v="-9.5"/>
    <n v="-199785"/>
    <n v="-1.9978499999999999"/>
  </r>
  <r>
    <n v="52"/>
    <x v="36"/>
    <s v="RV0126000006"/>
    <s v="GREEN GENE ENVIRO PROTECTION AND INFRAST RUCTURE LIMITED"/>
    <n v="151000013"/>
    <x v="6"/>
    <s v="KGS"/>
    <n v="31010"/>
    <s v="GJ06AX/7211"/>
    <n v="31.01"/>
    <n v="-9.5"/>
    <n v="-294595"/>
    <n v="-2.9459499999999998"/>
  </r>
  <r>
    <n v="53"/>
    <x v="4"/>
    <s v="RV0126000007"/>
    <s v="SHUBHAM FERTILIZERS &amp; CHEMICALS"/>
    <n v="151000015"/>
    <x v="5"/>
    <s v="KGS"/>
    <n v="31490"/>
    <s v="GJ16W/3623"/>
    <n v="31.49"/>
    <n v="-1.5"/>
    <n v="-47235"/>
    <n v="-0.47234999999999999"/>
  </r>
  <r>
    <n v="54"/>
    <x v="10"/>
    <s v="RV0126000010"/>
    <s v="SHUBHAM FERTILIZERS &amp; CHEMICALS"/>
    <n v="151000015"/>
    <x v="5"/>
    <s v="KGS"/>
    <n v="30570"/>
    <s v="GJ17XX/2615"/>
    <n v="30.57"/>
    <n v="-1.5"/>
    <n v="-45855"/>
    <n v="-0.45855000000000001"/>
  </r>
  <r>
    <n v="55"/>
    <x v="12"/>
    <s v="RV0126000012"/>
    <s v="SHUBHAM FERTILIZERS &amp; CHEMICALS"/>
    <n v="151000015"/>
    <x v="5"/>
    <s v="KGS"/>
    <n v="30150"/>
    <s v="GJ16W3623"/>
    <n v="30.15"/>
    <n v="-1.5"/>
    <n v="-45225"/>
    <n v="-0.45224999999999999"/>
  </r>
  <r>
    <n v="56"/>
    <x v="37"/>
    <s v="RV0126000016"/>
    <s v="GREEN GENE ENVIRO PROTECTION AND INFRAST RUCTURE LIMITED"/>
    <n v="151000013"/>
    <x v="6"/>
    <s v="KGS"/>
    <n v="27890"/>
    <s v="GJ02VV8711"/>
    <n v="27.89"/>
    <n v="-9.5"/>
    <n v="-264955"/>
    <n v="-2.6495500000000001"/>
  </r>
  <r>
    <n v="57"/>
    <x v="38"/>
    <s v="RV0126000018"/>
    <s v="SHUBHAM FERTILIZERS &amp; CHEMICALS"/>
    <n v="151000015"/>
    <x v="5"/>
    <s v="KGS"/>
    <n v="25100"/>
    <s v="GJ16W3623"/>
    <n v="25.1"/>
    <n v="-1"/>
    <n v="-25100"/>
    <n v="-0.251"/>
  </r>
  <r>
    <n v="58"/>
    <x v="39"/>
    <s v="RV0126000019"/>
    <s v="SHUBHAM FERTILIZERS &amp; CHEMICALS"/>
    <n v="151000015"/>
    <x v="5"/>
    <s v="KGS"/>
    <n v="25600"/>
    <s v="GJ16W3623"/>
    <n v="25.6"/>
    <n v="-1"/>
    <n v="-25600"/>
    <n v="-0.25600000000000001"/>
  </r>
  <r>
    <n v="59"/>
    <x v="19"/>
    <s v="RV0126000020"/>
    <s v="DYZENIX GLOBAL"/>
    <n v="151000013"/>
    <x v="6"/>
    <s v="KGS"/>
    <n v="32230"/>
    <s v="RJ39GA6022"/>
    <n v="32.229999999999997"/>
    <n v="-8"/>
    <n v="-257840"/>
    <n v="-2.5783999999999998"/>
  </r>
  <r>
    <n v="60"/>
    <x v="40"/>
    <s v="RV0126000021"/>
    <s v="DYZENIX GLOBAL"/>
    <n v="151000013"/>
    <x v="6"/>
    <s v="KGS"/>
    <n v="32010"/>
    <s v="RJ39GA6022"/>
    <n v="32.01"/>
    <n v="-8"/>
    <n v="-256080"/>
    <n v="-2.5608"/>
  </r>
  <r>
    <n v="61"/>
    <x v="23"/>
    <s v="RV0126000022"/>
    <s v="SHUBHAM FERTILIZERS &amp; CHEMICALS"/>
    <n v="151000015"/>
    <x v="5"/>
    <s v="KGS"/>
    <n v="30290"/>
    <s v="GJ16AU5551"/>
    <n v="30.29"/>
    <n v="-1"/>
    <n v="-30290"/>
    <n v="-0.3029"/>
  </r>
  <r>
    <n v="62"/>
    <x v="41"/>
    <s v="RV0126000025"/>
    <s v="DYZENIX GLOBAL"/>
    <n v="151000013"/>
    <x v="6"/>
    <s v="KGS"/>
    <n v="32110"/>
    <s v="RJ39GA6022"/>
    <n v="32.11"/>
    <n v="-8"/>
    <n v="-256880"/>
    <n v="-2.5688"/>
  </r>
  <r>
    <n v="63"/>
    <x v="42"/>
    <s v="RV0126000027"/>
    <s v="DYZENIX GLOBAL"/>
    <n v="151000013"/>
    <x v="6"/>
    <s v="KGS"/>
    <n v="32150"/>
    <s v="RJ39GA6022"/>
    <n v="32.15"/>
    <n v="-8"/>
    <n v="-257200"/>
    <n v="-2.57200000000000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98803E-EF52-47B8-9982-4A8E1CD519A2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I14" firstHeaderRow="1" firstDataRow="4" firstDataCol="1"/>
  <pivotFields count="14">
    <pivotField showAll="0"/>
    <pivotField axis="axisCol"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axis="axisRow" showAll="0">
      <items count="10">
        <item x="1"/>
        <item m="1" x="7"/>
        <item x="4"/>
        <item x="0"/>
        <item x="2"/>
        <item x="6"/>
        <item x="3"/>
        <item m="1" x="8"/>
        <item x="5"/>
        <item t="default"/>
      </items>
    </pivotField>
    <pivotField showAll="0"/>
    <pivotField showAll="0"/>
    <pivotField showAll="0"/>
    <pivotField dataField="1" showAll="0"/>
    <pivotField showAll="0"/>
    <pivotField showAll="0"/>
    <pivotField dataField="1" showAll="0"/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5"/>
  </rowFields>
  <rowItems count="8">
    <i>
      <x/>
    </i>
    <i>
      <x v="2"/>
    </i>
    <i>
      <x v="3"/>
    </i>
    <i>
      <x v="4"/>
    </i>
    <i>
      <x v="5"/>
    </i>
    <i>
      <x v="6"/>
    </i>
    <i>
      <x v="8"/>
    </i>
    <i t="grand">
      <x/>
    </i>
  </rowItems>
  <colFields count="3">
    <field x="13"/>
    <field x="1"/>
    <field x="-2"/>
  </colFields>
  <colItems count="8">
    <i>
      <x v="4"/>
      <x v="1048832"/>
      <x/>
    </i>
    <i r="2" i="1">
      <x v="1"/>
    </i>
    <i>
      <x v="5"/>
      <x v="1048832"/>
      <x/>
    </i>
    <i r="2" i="1">
      <x v="1"/>
    </i>
    <i>
      <x v="6"/>
      <x v="1048832"/>
      <x/>
    </i>
    <i r="2" i="1">
      <x v="1"/>
    </i>
    <i t="grand">
      <x/>
    </i>
    <i t="grand" i="1">
      <x/>
    </i>
  </colItems>
  <dataFields count="2">
    <dataField name="Sum of Qty in MT" fld="9" baseField="0" baseItem="0"/>
    <dataField name="Sum of Value (Lakh)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J12"/>
  <sheetViews>
    <sheetView tabSelected="1" zoomScaleNormal="100" workbookViewId="0">
      <selection sqref="A1:XFD1048576"/>
    </sheetView>
  </sheetViews>
  <sheetFormatPr defaultRowHeight="12.5" x14ac:dyDescent="0.25"/>
  <cols>
    <col min="2" max="2" width="28.7265625" bestFit="1" customWidth="1"/>
    <col min="3" max="3" width="9" bestFit="1" customWidth="1"/>
    <col min="9" max="9" width="9" bestFit="1" customWidth="1"/>
  </cols>
  <sheetData>
    <row r="2" spans="2:10" ht="13" thickBot="1" x14ac:dyDescent="0.3"/>
    <row r="3" spans="2:10" ht="13" x14ac:dyDescent="0.25">
      <c r="B3" s="2"/>
      <c r="C3" s="38">
        <v>46113</v>
      </c>
      <c r="D3" s="39"/>
      <c r="E3" s="38">
        <v>46143</v>
      </c>
      <c r="F3" s="39"/>
      <c r="G3" s="38">
        <v>46174</v>
      </c>
      <c r="H3" s="39"/>
      <c r="I3" s="38" t="s">
        <v>123</v>
      </c>
      <c r="J3" s="39"/>
    </row>
    <row r="4" spans="2:10" ht="26.5" thickBot="1" x14ac:dyDescent="0.3">
      <c r="B4" s="4" t="s">
        <v>52</v>
      </c>
      <c r="C4" s="5" t="s">
        <v>61</v>
      </c>
      <c r="D4" s="6" t="s">
        <v>59</v>
      </c>
      <c r="E4" s="5" t="s">
        <v>61</v>
      </c>
      <c r="F4" s="6" t="s">
        <v>59</v>
      </c>
      <c r="G4" s="5" t="s">
        <v>61</v>
      </c>
      <c r="H4" s="6" t="s">
        <v>59</v>
      </c>
      <c r="I4" s="5" t="s">
        <v>61</v>
      </c>
      <c r="J4" s="6" t="s">
        <v>59</v>
      </c>
    </row>
    <row r="5" spans="2:10" x14ac:dyDescent="0.25">
      <c r="B5" s="34" t="s">
        <v>11</v>
      </c>
      <c r="C5" s="7">
        <v>114.65</v>
      </c>
      <c r="D5" s="7">
        <v>-0.2293</v>
      </c>
      <c r="E5" s="7">
        <v>185.04000000000002</v>
      </c>
      <c r="F5" s="7">
        <v>-0.37007999999999996</v>
      </c>
      <c r="G5" s="7">
        <v>129.69999999999999</v>
      </c>
      <c r="H5" s="7">
        <v>-0.25940000000000002</v>
      </c>
      <c r="I5" s="7">
        <v>429.39000000000004</v>
      </c>
      <c r="J5" s="30">
        <v>-0.8587800000000001</v>
      </c>
    </row>
    <row r="6" spans="2:10" x14ac:dyDescent="0.25">
      <c r="B6" s="35" t="s">
        <v>95</v>
      </c>
      <c r="C6" s="3">
        <v>0</v>
      </c>
      <c r="D6" s="3">
        <v>0</v>
      </c>
      <c r="E6" s="3">
        <v>42.44</v>
      </c>
      <c r="F6" s="3">
        <v>-3.3952</v>
      </c>
      <c r="G6" s="3">
        <v>0</v>
      </c>
      <c r="H6" s="3">
        <v>0</v>
      </c>
      <c r="I6" s="3">
        <v>42.44</v>
      </c>
      <c r="J6" s="31">
        <v>-3.3952</v>
      </c>
    </row>
    <row r="7" spans="2:10" x14ac:dyDescent="0.25">
      <c r="B7" s="35" t="s">
        <v>3</v>
      </c>
      <c r="C7" s="3">
        <v>180.02</v>
      </c>
      <c r="D7" s="3">
        <v>-3.7804200000000003</v>
      </c>
      <c r="E7" s="3">
        <v>137.19</v>
      </c>
      <c r="F7" s="3">
        <v>-3.5669399999999998</v>
      </c>
      <c r="G7" s="3">
        <v>118.30000000000001</v>
      </c>
      <c r="H7" s="3">
        <v>-3.0758000000000001</v>
      </c>
      <c r="I7" s="3">
        <v>435.51000000000005</v>
      </c>
      <c r="J7" s="31">
        <v>-10.423159999999999</v>
      </c>
    </row>
    <row r="8" spans="2:10" x14ac:dyDescent="0.25">
      <c r="B8" s="35" t="s">
        <v>15</v>
      </c>
      <c r="C8" s="3">
        <v>57.26</v>
      </c>
      <c r="D8" s="3">
        <v>-4.5808</v>
      </c>
      <c r="E8" s="3">
        <v>35.06</v>
      </c>
      <c r="F8" s="3">
        <v>-2.9657999999999998</v>
      </c>
      <c r="G8" s="3">
        <v>8.49</v>
      </c>
      <c r="H8" s="3">
        <v>-0.67920000000000003</v>
      </c>
      <c r="I8" s="3">
        <v>100.80999999999999</v>
      </c>
      <c r="J8" s="31">
        <v>-8.2257999999999996</v>
      </c>
    </row>
    <row r="9" spans="2:10" x14ac:dyDescent="0.25">
      <c r="B9" s="35" t="s">
        <v>76</v>
      </c>
      <c r="C9" s="3">
        <v>72.460000000000008</v>
      </c>
      <c r="D9" s="3">
        <v>-6.5773999999999999</v>
      </c>
      <c r="E9" s="3">
        <v>92.13</v>
      </c>
      <c r="F9" s="3">
        <v>-7.7887500000000003</v>
      </c>
      <c r="G9" s="3">
        <v>64.259999999999991</v>
      </c>
      <c r="H9" s="3">
        <v>-5.1408000000000005</v>
      </c>
      <c r="I9" s="3">
        <v>228.85</v>
      </c>
      <c r="J9" s="31">
        <v>-19.506950000000003</v>
      </c>
    </row>
    <row r="10" spans="2:10" x14ac:dyDescent="0.25">
      <c r="B10" s="35" t="s">
        <v>47</v>
      </c>
      <c r="C10" s="3">
        <v>42.6</v>
      </c>
      <c r="D10" s="3">
        <v>-2.7690000000000001</v>
      </c>
      <c r="E10" s="3">
        <v>104.66000000000001</v>
      </c>
      <c r="F10" s="3">
        <v>-9.4193999999999996</v>
      </c>
      <c r="G10" s="3">
        <v>63.36</v>
      </c>
      <c r="H10" s="3">
        <v>-5.7024000000000008</v>
      </c>
      <c r="I10" s="3">
        <v>210.62</v>
      </c>
      <c r="J10" s="31">
        <v>-17.890799999999999</v>
      </c>
    </row>
    <row r="11" spans="2:10" ht="13" thickBot="1" x14ac:dyDescent="0.3">
      <c r="B11" s="36" t="s">
        <v>75</v>
      </c>
      <c r="C11" s="8">
        <v>162.30000000000001</v>
      </c>
      <c r="D11" s="8">
        <v>-2.2663500000000001</v>
      </c>
      <c r="E11" s="8">
        <v>80.990000000000009</v>
      </c>
      <c r="F11" s="8">
        <v>-0.80990000000000006</v>
      </c>
      <c r="G11" s="8">
        <v>0</v>
      </c>
      <c r="H11" s="8">
        <v>0</v>
      </c>
      <c r="I11" s="8">
        <v>243.29000000000002</v>
      </c>
      <c r="J11" s="37">
        <v>-3.0762499999999999</v>
      </c>
    </row>
    <row r="12" spans="2:10" ht="13.5" thickBot="1" x14ac:dyDescent="0.3">
      <c r="B12" s="32" t="s">
        <v>60</v>
      </c>
      <c r="C12" s="33">
        <f>SUM(C5:C11)</f>
        <v>629.29</v>
      </c>
      <c r="D12" s="33">
        <f t="shared" ref="D12:J12" si="0">SUM(D5:D11)</f>
        <v>-20.20327</v>
      </c>
      <c r="E12" s="33">
        <f t="shared" si="0"/>
        <v>677.51</v>
      </c>
      <c r="F12" s="33">
        <f t="shared" si="0"/>
        <v>-28.31607</v>
      </c>
      <c r="G12" s="33">
        <f t="shared" si="0"/>
        <v>384.11</v>
      </c>
      <c r="H12" s="33">
        <f t="shared" si="0"/>
        <v>-14.857600000000001</v>
      </c>
      <c r="I12" s="33">
        <f t="shared" si="0"/>
        <v>1690.9099999999999</v>
      </c>
      <c r="J12" s="33">
        <f t="shared" si="0"/>
        <v>-63.376940000000005</v>
      </c>
    </row>
  </sheetData>
  <mergeCells count="4">
    <mergeCell ref="C3:D3"/>
    <mergeCell ref="E3:F3"/>
    <mergeCell ref="I3:J3"/>
    <mergeCell ref="G3:H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B9649-5B20-42E6-8566-F1FFA5B43630}">
  <dimension ref="A3:I14"/>
  <sheetViews>
    <sheetView topLeftCell="E1" workbookViewId="0">
      <selection activeCell="E1" sqref="A1:XFD1048576"/>
    </sheetView>
  </sheetViews>
  <sheetFormatPr defaultRowHeight="12.5" x14ac:dyDescent="0.25"/>
  <cols>
    <col min="1" max="1" width="27.6328125" bestFit="1" customWidth="1"/>
    <col min="2" max="2" width="16" bestFit="1" customWidth="1"/>
    <col min="3" max="3" width="18.36328125" bestFit="1" customWidth="1"/>
    <col min="4" max="4" width="16" bestFit="1" customWidth="1"/>
    <col min="5" max="5" width="18.36328125" bestFit="1" customWidth="1"/>
    <col min="6" max="6" width="16" bestFit="1" customWidth="1"/>
    <col min="7" max="7" width="18.36328125" bestFit="1" customWidth="1"/>
    <col min="8" max="8" width="21.08984375" bestFit="1" customWidth="1"/>
    <col min="9" max="9" width="23.36328125" bestFit="1" customWidth="1"/>
    <col min="10" max="16" width="15.90625" bestFit="1" customWidth="1"/>
    <col min="17" max="17" width="8.7265625" bestFit="1" customWidth="1"/>
    <col min="18" max="33" width="7" bestFit="1" customWidth="1"/>
    <col min="34" max="34" width="9.26953125" bestFit="1" customWidth="1"/>
    <col min="35" max="45" width="6.6328125" bestFit="1" customWidth="1"/>
    <col min="46" max="46" width="8.90625" bestFit="1" customWidth="1"/>
    <col min="47" max="47" width="11.08984375" bestFit="1" customWidth="1"/>
  </cols>
  <sheetData>
    <row r="3" spans="1:9" x14ac:dyDescent="0.25">
      <c r="B3" s="27" t="s">
        <v>161</v>
      </c>
    </row>
    <row r="4" spans="1:9" x14ac:dyDescent="0.25">
      <c r="B4" t="s">
        <v>162</v>
      </c>
      <c r="D4" t="s">
        <v>163</v>
      </c>
      <c r="F4" t="s">
        <v>164</v>
      </c>
      <c r="H4" t="s">
        <v>167</v>
      </c>
      <c r="I4" t="s">
        <v>168</v>
      </c>
    </row>
    <row r="6" spans="1:9" x14ac:dyDescent="0.25">
      <c r="A6" s="27" t="s">
        <v>165</v>
      </c>
      <c r="B6" t="s">
        <v>166</v>
      </c>
      <c r="C6" t="s">
        <v>169</v>
      </c>
      <c r="D6" t="s">
        <v>166</v>
      </c>
      <c r="E6" t="s">
        <v>169</v>
      </c>
      <c r="F6" t="s">
        <v>166</v>
      </c>
      <c r="G6" t="s">
        <v>169</v>
      </c>
    </row>
    <row r="7" spans="1:9" x14ac:dyDescent="0.25">
      <c r="A7" s="28" t="s">
        <v>11</v>
      </c>
      <c r="B7" s="29">
        <v>114.65</v>
      </c>
      <c r="C7" s="29">
        <v>-0.2293</v>
      </c>
      <c r="D7" s="29">
        <v>185.04000000000002</v>
      </c>
      <c r="E7" s="29">
        <v>-0.37007999999999996</v>
      </c>
      <c r="F7" s="29">
        <v>129.69999999999999</v>
      </c>
      <c r="G7" s="29">
        <v>-0.25940000000000002</v>
      </c>
      <c r="H7" s="29">
        <v>429.39000000000004</v>
      </c>
      <c r="I7" s="29">
        <v>-0.8587800000000001</v>
      </c>
    </row>
    <row r="8" spans="1:9" x14ac:dyDescent="0.25">
      <c r="A8" s="28" t="s">
        <v>95</v>
      </c>
      <c r="B8" s="29"/>
      <c r="C8" s="29"/>
      <c r="D8" s="29">
        <v>42.44</v>
      </c>
      <c r="E8" s="29">
        <v>-3.3952</v>
      </c>
      <c r="F8" s="29"/>
      <c r="G8" s="29"/>
      <c r="H8" s="29">
        <v>42.44</v>
      </c>
      <c r="I8" s="29">
        <v>-3.3952</v>
      </c>
    </row>
    <row r="9" spans="1:9" x14ac:dyDescent="0.25">
      <c r="A9" s="28" t="s">
        <v>3</v>
      </c>
      <c r="B9" s="29">
        <v>180.02</v>
      </c>
      <c r="C9" s="29">
        <v>-3.7804200000000003</v>
      </c>
      <c r="D9" s="29">
        <v>137.19</v>
      </c>
      <c r="E9" s="29">
        <v>-3.5669399999999998</v>
      </c>
      <c r="F9" s="29">
        <v>118.30000000000001</v>
      </c>
      <c r="G9" s="29">
        <v>-3.0758000000000001</v>
      </c>
      <c r="H9" s="29">
        <v>435.51000000000005</v>
      </c>
      <c r="I9" s="29">
        <v>-10.423159999999999</v>
      </c>
    </row>
    <row r="10" spans="1:9" x14ac:dyDescent="0.25">
      <c r="A10" s="28" t="s">
        <v>15</v>
      </c>
      <c r="B10" s="29">
        <v>57.26</v>
      </c>
      <c r="C10" s="29">
        <v>-4.5808</v>
      </c>
      <c r="D10" s="29">
        <v>35.06</v>
      </c>
      <c r="E10" s="29">
        <v>-2.9657999999999998</v>
      </c>
      <c r="F10" s="29">
        <v>8.49</v>
      </c>
      <c r="G10" s="29">
        <v>-0.67920000000000003</v>
      </c>
      <c r="H10" s="29">
        <v>100.80999999999999</v>
      </c>
      <c r="I10" s="29">
        <v>-8.2257999999999996</v>
      </c>
    </row>
    <row r="11" spans="1:9" x14ac:dyDescent="0.25">
      <c r="A11" s="28" t="s">
        <v>76</v>
      </c>
      <c r="B11" s="29">
        <v>72.460000000000008</v>
      </c>
      <c r="C11" s="29">
        <v>-6.5773999999999999</v>
      </c>
      <c r="D11" s="29">
        <v>92.13</v>
      </c>
      <c r="E11" s="29">
        <v>-7.7887500000000003</v>
      </c>
      <c r="F11" s="29">
        <v>64.259999999999991</v>
      </c>
      <c r="G11" s="29">
        <v>-5.1408000000000005</v>
      </c>
      <c r="H11" s="29">
        <v>228.85</v>
      </c>
      <c r="I11" s="29">
        <v>-19.506950000000003</v>
      </c>
    </row>
    <row r="12" spans="1:9" x14ac:dyDescent="0.25">
      <c r="A12" s="28" t="s">
        <v>47</v>
      </c>
      <c r="B12" s="29">
        <v>42.6</v>
      </c>
      <c r="C12" s="29">
        <v>-2.7690000000000001</v>
      </c>
      <c r="D12" s="29">
        <v>104.66000000000001</v>
      </c>
      <c r="E12" s="29">
        <v>-9.4193999999999996</v>
      </c>
      <c r="F12" s="29">
        <v>63.36</v>
      </c>
      <c r="G12" s="29">
        <v>-5.7024000000000008</v>
      </c>
      <c r="H12" s="29">
        <v>210.62</v>
      </c>
      <c r="I12" s="29">
        <v>-17.890799999999999</v>
      </c>
    </row>
    <row r="13" spans="1:9" x14ac:dyDescent="0.25">
      <c r="A13" s="28" t="s">
        <v>75</v>
      </c>
      <c r="B13" s="29">
        <v>162.30000000000001</v>
      </c>
      <c r="C13" s="29">
        <v>-2.2663500000000001</v>
      </c>
      <c r="D13" s="29">
        <v>80.990000000000009</v>
      </c>
      <c r="E13" s="29">
        <v>-0.80990000000000006</v>
      </c>
      <c r="F13" s="29"/>
      <c r="G13" s="29"/>
      <c r="H13" s="29">
        <v>243.29000000000002</v>
      </c>
      <c r="I13" s="29">
        <v>-3.0762499999999999</v>
      </c>
    </row>
    <row r="14" spans="1:9" x14ac:dyDescent="0.25">
      <c r="A14" s="28" t="s">
        <v>60</v>
      </c>
      <c r="B14" s="29">
        <v>629.29</v>
      </c>
      <c r="C14" s="29">
        <v>-20.20327</v>
      </c>
      <c r="D14" s="29">
        <v>677.51</v>
      </c>
      <c r="E14" s="29">
        <v>-28.31607</v>
      </c>
      <c r="F14" s="29">
        <v>384.11</v>
      </c>
      <c r="G14" s="29">
        <v>-14.857600000000001</v>
      </c>
      <c r="H14" s="29">
        <v>1690.9099999999999</v>
      </c>
      <c r="I14" s="29">
        <v>-63.376940000000005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75D30-31E4-4EE1-A251-6F2A0A81B4FD}">
  <dimension ref="A3:P83"/>
  <sheetViews>
    <sheetView zoomScale="60" zoomScaleNormal="60" workbookViewId="0">
      <pane xSplit="4" ySplit="4" topLeftCell="E5" activePane="bottomRight" state="frozen"/>
      <selection pane="topRight" activeCell="E1" sqref="E1"/>
      <selection pane="bottomLeft" activeCell="A5" sqref="A5"/>
      <selection pane="bottomRight" sqref="A1:XFD1048576"/>
    </sheetView>
  </sheetViews>
  <sheetFormatPr defaultColWidth="9.1796875" defaultRowHeight="18.75" customHeight="1" x14ac:dyDescent="0.25"/>
  <cols>
    <col min="1" max="1" width="6.1796875" style="1" customWidth="1"/>
    <col min="2" max="2" width="13" style="9" bestFit="1" customWidth="1"/>
    <col min="3" max="3" width="12" style="1" bestFit="1" customWidth="1"/>
    <col min="4" max="4" width="40.1796875" style="1" customWidth="1"/>
    <col min="5" max="5" width="17.1796875" style="1" bestFit="1" customWidth="1"/>
    <col min="6" max="6" width="20.6328125" style="1" customWidth="1"/>
    <col min="7" max="7" width="5" style="1" bestFit="1" customWidth="1"/>
    <col min="8" max="8" width="12.54296875" style="1" customWidth="1"/>
    <col min="9" max="9" width="12.6328125" style="1" customWidth="1"/>
    <col min="10" max="12" width="9.1796875" style="1"/>
    <col min="13" max="13" width="11" style="1" customWidth="1"/>
    <col min="14" max="15" width="9.1796875" style="1"/>
    <col min="16" max="16" width="12.54296875" style="1" bestFit="1" customWidth="1"/>
    <col min="17" max="16384" width="9.1796875" style="1"/>
  </cols>
  <sheetData>
    <row r="3" spans="1:16" ht="16.5" customHeight="1" x14ac:dyDescent="0.25">
      <c r="A3" s="10"/>
      <c r="B3" s="11"/>
      <c r="C3" s="10"/>
      <c r="D3" s="10"/>
      <c r="E3" s="10"/>
      <c r="F3" s="10"/>
      <c r="G3" s="10"/>
      <c r="H3" s="10">
        <f>SUBTOTAL(9,H5:H83)</f>
        <v>1690910</v>
      </c>
      <c r="I3" s="10"/>
      <c r="J3" s="10">
        <f>SUBTOTAL(9,J5:J83)</f>
        <v>1690.9100000000003</v>
      </c>
      <c r="K3" s="10"/>
      <c r="L3" s="10">
        <f>SUBTOTAL(9,L5:L83)</f>
        <v>-6337694</v>
      </c>
      <c r="M3" s="10">
        <f>SUBTOTAL(9,M5:M83)</f>
        <v>-63.376940000000033</v>
      </c>
    </row>
    <row r="4" spans="1:16" ht="27" customHeight="1" x14ac:dyDescent="0.25">
      <c r="A4" s="12" t="s">
        <v>62</v>
      </c>
      <c r="B4" s="13" t="s">
        <v>122</v>
      </c>
      <c r="C4" s="14" t="s">
        <v>74</v>
      </c>
      <c r="D4" s="12" t="s">
        <v>50</v>
      </c>
      <c r="E4" s="12" t="s">
        <v>51</v>
      </c>
      <c r="F4" s="12" t="s">
        <v>52</v>
      </c>
      <c r="G4" s="12" t="s">
        <v>53</v>
      </c>
      <c r="H4" s="12" t="s">
        <v>54</v>
      </c>
      <c r="I4" s="12" t="s">
        <v>55</v>
      </c>
      <c r="J4" s="12" t="s">
        <v>56</v>
      </c>
      <c r="K4" s="12" t="s">
        <v>57</v>
      </c>
      <c r="L4" s="12" t="s">
        <v>58</v>
      </c>
      <c r="M4" s="14" t="s">
        <v>59</v>
      </c>
    </row>
    <row r="5" spans="1:16" ht="18.75" customHeight="1" x14ac:dyDescent="0.25">
      <c r="A5" s="10">
        <v>1</v>
      </c>
      <c r="B5" s="15">
        <v>46113</v>
      </c>
      <c r="C5" s="10" t="s">
        <v>1</v>
      </c>
      <c r="D5" s="10" t="s">
        <v>2</v>
      </c>
      <c r="E5" s="10" t="s">
        <v>0</v>
      </c>
      <c r="F5" s="10" t="s">
        <v>3</v>
      </c>
      <c r="G5" s="10" t="s">
        <v>4</v>
      </c>
      <c r="H5" s="16">
        <v>23160</v>
      </c>
      <c r="I5" s="21" t="s">
        <v>5</v>
      </c>
      <c r="J5" s="17">
        <v>23.16</v>
      </c>
      <c r="K5" s="17">
        <v>-2.1</v>
      </c>
      <c r="L5" s="17">
        <f>H5*K5</f>
        <v>-48636</v>
      </c>
      <c r="M5" s="17">
        <f>L5/100000</f>
        <v>-0.48636000000000001</v>
      </c>
    </row>
    <row r="6" spans="1:16" ht="18.75" customHeight="1" x14ac:dyDescent="0.25">
      <c r="A6" s="10">
        <v>2</v>
      </c>
      <c r="B6" s="15">
        <v>46113</v>
      </c>
      <c r="C6" s="10" t="s">
        <v>6</v>
      </c>
      <c r="D6" s="10" t="s">
        <v>2</v>
      </c>
      <c r="E6" s="10" t="s">
        <v>0</v>
      </c>
      <c r="F6" s="10" t="s">
        <v>3</v>
      </c>
      <c r="G6" s="10" t="s">
        <v>4</v>
      </c>
      <c r="H6" s="16">
        <v>24230</v>
      </c>
      <c r="I6" s="21" t="s">
        <v>7</v>
      </c>
      <c r="J6" s="17">
        <v>24.23</v>
      </c>
      <c r="K6" s="17">
        <v>-2.1</v>
      </c>
      <c r="L6" s="17">
        <f t="shared" ref="L6:L35" si="0">H6*K6</f>
        <v>-50883</v>
      </c>
      <c r="M6" s="17">
        <f t="shared" ref="M6:M35" si="1">L6/100000</f>
        <v>-0.50883</v>
      </c>
    </row>
    <row r="7" spans="1:16" ht="18.75" customHeight="1" x14ac:dyDescent="0.25">
      <c r="A7" s="10">
        <v>3</v>
      </c>
      <c r="B7" s="15">
        <v>46114</v>
      </c>
      <c r="C7" s="10" t="s">
        <v>9</v>
      </c>
      <c r="D7" s="10" t="s">
        <v>10</v>
      </c>
      <c r="E7" s="10" t="s">
        <v>0</v>
      </c>
      <c r="F7" s="10" t="s">
        <v>11</v>
      </c>
      <c r="G7" s="10" t="s">
        <v>4</v>
      </c>
      <c r="H7" s="16">
        <v>21180</v>
      </c>
      <c r="I7" s="21" t="s">
        <v>12</v>
      </c>
      <c r="J7" s="17">
        <v>21.18</v>
      </c>
      <c r="K7" s="17">
        <v>-0.2</v>
      </c>
      <c r="L7" s="17">
        <f t="shared" si="0"/>
        <v>-4236</v>
      </c>
      <c r="M7" s="17">
        <f t="shared" si="1"/>
        <v>-4.2360000000000002E-2</v>
      </c>
      <c r="P7" s="25"/>
    </row>
    <row r="8" spans="1:16" ht="18.75" customHeight="1" x14ac:dyDescent="0.25">
      <c r="A8" s="10">
        <v>4</v>
      </c>
      <c r="B8" s="15">
        <v>46118</v>
      </c>
      <c r="C8" s="10" t="s">
        <v>13</v>
      </c>
      <c r="D8" s="10" t="s">
        <v>65</v>
      </c>
      <c r="E8" s="10" t="s">
        <v>0</v>
      </c>
      <c r="F8" s="10" t="s">
        <v>15</v>
      </c>
      <c r="G8" s="10" t="s">
        <v>4</v>
      </c>
      <c r="H8" s="16">
        <v>19350</v>
      </c>
      <c r="I8" s="21" t="s">
        <v>16</v>
      </c>
      <c r="J8" s="17">
        <v>19.350000000000001</v>
      </c>
      <c r="K8" s="17">
        <v>-8</v>
      </c>
      <c r="L8" s="17">
        <f t="shared" si="0"/>
        <v>-154800</v>
      </c>
      <c r="M8" s="17">
        <f t="shared" si="1"/>
        <v>-1.548</v>
      </c>
    </row>
    <row r="9" spans="1:16" ht="18.75" customHeight="1" x14ac:dyDescent="0.25">
      <c r="A9" s="10">
        <v>5</v>
      </c>
      <c r="B9" s="15">
        <v>46118</v>
      </c>
      <c r="C9" s="10" t="s">
        <v>17</v>
      </c>
      <c r="D9" s="10" t="s">
        <v>18</v>
      </c>
      <c r="E9" s="10" t="s">
        <v>0</v>
      </c>
      <c r="F9" s="10" t="s">
        <v>11</v>
      </c>
      <c r="G9" s="10" t="s">
        <v>4</v>
      </c>
      <c r="H9" s="16">
        <v>21920</v>
      </c>
      <c r="I9" s="21" t="s">
        <v>19</v>
      </c>
      <c r="J9" s="17">
        <v>21.92</v>
      </c>
      <c r="K9" s="17">
        <v>-0.2</v>
      </c>
      <c r="L9" s="17">
        <f t="shared" si="0"/>
        <v>-4384</v>
      </c>
      <c r="M9" s="17">
        <f t="shared" si="1"/>
        <v>-4.3839999999999997E-2</v>
      </c>
    </row>
    <row r="10" spans="1:16" ht="18.75" customHeight="1" x14ac:dyDescent="0.25">
      <c r="A10" s="10">
        <v>6</v>
      </c>
      <c r="B10" s="15">
        <v>46120</v>
      </c>
      <c r="C10" s="10" t="s">
        <v>20</v>
      </c>
      <c r="D10" s="10" t="s">
        <v>2</v>
      </c>
      <c r="E10" s="10" t="s">
        <v>0</v>
      </c>
      <c r="F10" s="10" t="s">
        <v>3</v>
      </c>
      <c r="G10" s="10" t="s">
        <v>4</v>
      </c>
      <c r="H10" s="16">
        <v>26260</v>
      </c>
      <c r="I10" s="21" t="s">
        <v>21</v>
      </c>
      <c r="J10" s="17">
        <v>26.26</v>
      </c>
      <c r="K10" s="17">
        <v>-2.1</v>
      </c>
      <c r="L10" s="17">
        <f t="shared" si="0"/>
        <v>-55146</v>
      </c>
      <c r="M10" s="17">
        <f t="shared" si="1"/>
        <v>-0.55145999999999995</v>
      </c>
    </row>
    <row r="11" spans="1:16" ht="18.75" customHeight="1" x14ac:dyDescent="0.25">
      <c r="A11" s="10">
        <v>7</v>
      </c>
      <c r="B11" s="15">
        <v>46120</v>
      </c>
      <c r="C11" s="10" t="s">
        <v>22</v>
      </c>
      <c r="D11" s="10" t="s">
        <v>65</v>
      </c>
      <c r="E11" s="10" t="s">
        <v>0</v>
      </c>
      <c r="F11" s="10" t="s">
        <v>15</v>
      </c>
      <c r="G11" s="10" t="s">
        <v>4</v>
      </c>
      <c r="H11" s="16">
        <v>20290</v>
      </c>
      <c r="I11" s="21" t="s">
        <v>23</v>
      </c>
      <c r="J11" s="17">
        <v>20.29</v>
      </c>
      <c r="K11" s="17">
        <v>-8</v>
      </c>
      <c r="L11" s="17">
        <f t="shared" si="0"/>
        <v>-162320</v>
      </c>
      <c r="M11" s="17">
        <f t="shared" si="1"/>
        <v>-1.6232</v>
      </c>
    </row>
    <row r="12" spans="1:16" ht="18.75" customHeight="1" x14ac:dyDescent="0.25">
      <c r="A12" s="10">
        <v>8</v>
      </c>
      <c r="B12" s="15">
        <v>46120</v>
      </c>
      <c r="C12" s="10" t="s">
        <v>24</v>
      </c>
      <c r="D12" s="10" t="s">
        <v>2</v>
      </c>
      <c r="E12" s="10" t="s">
        <v>0</v>
      </c>
      <c r="F12" s="10" t="s">
        <v>3</v>
      </c>
      <c r="G12" s="10" t="s">
        <v>4</v>
      </c>
      <c r="H12" s="16">
        <v>22640</v>
      </c>
      <c r="I12" s="21" t="s">
        <v>5</v>
      </c>
      <c r="J12" s="17">
        <v>22.64</v>
      </c>
      <c r="K12" s="17">
        <v>-2.1</v>
      </c>
      <c r="L12" s="17">
        <f t="shared" si="0"/>
        <v>-47544</v>
      </c>
      <c r="M12" s="17">
        <f t="shared" si="1"/>
        <v>-0.47543999999999997</v>
      </c>
    </row>
    <row r="13" spans="1:16" ht="18.75" customHeight="1" x14ac:dyDescent="0.25">
      <c r="A13" s="10">
        <v>9</v>
      </c>
      <c r="B13" s="15">
        <v>46125</v>
      </c>
      <c r="C13" s="10" t="s">
        <v>25</v>
      </c>
      <c r="D13" s="10" t="s">
        <v>10</v>
      </c>
      <c r="E13" s="10" t="s">
        <v>0</v>
      </c>
      <c r="F13" s="10" t="s">
        <v>11</v>
      </c>
      <c r="G13" s="10" t="s">
        <v>4</v>
      </c>
      <c r="H13" s="16">
        <v>18780</v>
      </c>
      <c r="I13" s="21" t="s">
        <v>12</v>
      </c>
      <c r="J13" s="17">
        <v>18.78</v>
      </c>
      <c r="K13" s="17">
        <v>-0.2</v>
      </c>
      <c r="L13" s="17">
        <f t="shared" si="0"/>
        <v>-3756</v>
      </c>
      <c r="M13" s="17">
        <f t="shared" si="1"/>
        <v>-3.7560000000000003E-2</v>
      </c>
    </row>
    <row r="14" spans="1:16" ht="18.75" customHeight="1" x14ac:dyDescent="0.25">
      <c r="A14" s="10">
        <v>10</v>
      </c>
      <c r="B14" s="15">
        <v>46125</v>
      </c>
      <c r="C14" s="10" t="s">
        <v>26</v>
      </c>
      <c r="D14" s="10" t="s">
        <v>2</v>
      </c>
      <c r="E14" s="10" t="s">
        <v>0</v>
      </c>
      <c r="F14" s="10" t="s">
        <v>3</v>
      </c>
      <c r="G14" s="10" t="s">
        <v>4</v>
      </c>
      <c r="H14" s="16">
        <v>23850</v>
      </c>
      <c r="I14" s="21" t="s">
        <v>27</v>
      </c>
      <c r="J14" s="17">
        <v>23.85</v>
      </c>
      <c r="K14" s="17">
        <v>-2.1</v>
      </c>
      <c r="L14" s="17">
        <f t="shared" si="0"/>
        <v>-50085</v>
      </c>
      <c r="M14" s="17">
        <f t="shared" si="1"/>
        <v>-0.50085000000000002</v>
      </c>
    </row>
    <row r="15" spans="1:16" ht="18.75" customHeight="1" x14ac:dyDescent="0.25">
      <c r="A15" s="10">
        <v>11</v>
      </c>
      <c r="B15" s="15">
        <v>46125</v>
      </c>
      <c r="C15" s="10" t="s">
        <v>28</v>
      </c>
      <c r="D15" s="10" t="s">
        <v>2</v>
      </c>
      <c r="E15" s="10" t="s">
        <v>0</v>
      </c>
      <c r="F15" s="10" t="s">
        <v>3</v>
      </c>
      <c r="G15" s="10" t="s">
        <v>4</v>
      </c>
      <c r="H15" s="16">
        <v>22940</v>
      </c>
      <c r="I15" s="21" t="s">
        <v>29</v>
      </c>
      <c r="J15" s="17">
        <v>22.94</v>
      </c>
      <c r="K15" s="17">
        <v>-2.1</v>
      </c>
      <c r="L15" s="17">
        <f t="shared" si="0"/>
        <v>-48174</v>
      </c>
      <c r="M15" s="17">
        <f t="shared" si="1"/>
        <v>-0.48174</v>
      </c>
    </row>
    <row r="16" spans="1:16" ht="18.75" customHeight="1" x14ac:dyDescent="0.25">
      <c r="A16" s="10">
        <v>12</v>
      </c>
      <c r="B16" s="15">
        <v>46126</v>
      </c>
      <c r="C16" s="10" t="s">
        <v>30</v>
      </c>
      <c r="D16" s="10" t="s">
        <v>65</v>
      </c>
      <c r="E16" s="10" t="s">
        <v>0</v>
      </c>
      <c r="F16" s="10" t="s">
        <v>15</v>
      </c>
      <c r="G16" s="10" t="s">
        <v>4</v>
      </c>
      <c r="H16" s="16">
        <v>8910</v>
      </c>
      <c r="I16" s="21" t="s">
        <v>31</v>
      </c>
      <c r="J16" s="17">
        <v>8.91</v>
      </c>
      <c r="K16" s="17">
        <v>-8</v>
      </c>
      <c r="L16" s="17">
        <f t="shared" si="0"/>
        <v>-71280</v>
      </c>
      <c r="M16" s="17">
        <f t="shared" si="1"/>
        <v>-0.71279999999999999</v>
      </c>
    </row>
    <row r="17" spans="1:13" ht="18.75" customHeight="1" x14ac:dyDescent="0.25">
      <c r="A17" s="10">
        <v>13</v>
      </c>
      <c r="B17" s="15">
        <v>46127</v>
      </c>
      <c r="C17" s="10" t="s">
        <v>32</v>
      </c>
      <c r="D17" s="10" t="s">
        <v>2</v>
      </c>
      <c r="E17" s="10" t="s">
        <v>0</v>
      </c>
      <c r="F17" s="10" t="s">
        <v>3</v>
      </c>
      <c r="G17" s="10" t="s">
        <v>4</v>
      </c>
      <c r="H17" s="16">
        <v>20450</v>
      </c>
      <c r="I17" s="21" t="s">
        <v>5</v>
      </c>
      <c r="J17" s="17">
        <v>20.45</v>
      </c>
      <c r="K17" s="17">
        <v>-2.1</v>
      </c>
      <c r="L17" s="17">
        <f t="shared" si="0"/>
        <v>-42945</v>
      </c>
      <c r="M17" s="17">
        <f t="shared" si="1"/>
        <v>-0.42945</v>
      </c>
    </row>
    <row r="18" spans="1:13" ht="18.75" customHeight="1" x14ac:dyDescent="0.25">
      <c r="A18" s="10">
        <v>14</v>
      </c>
      <c r="B18" s="15">
        <v>46127</v>
      </c>
      <c r="C18" s="10" t="s">
        <v>33</v>
      </c>
      <c r="D18" s="10" t="s">
        <v>2</v>
      </c>
      <c r="E18" s="10" t="s">
        <v>0</v>
      </c>
      <c r="F18" s="10" t="s">
        <v>3</v>
      </c>
      <c r="G18" s="10" t="s">
        <v>4</v>
      </c>
      <c r="H18" s="16">
        <v>16490</v>
      </c>
      <c r="I18" s="21" t="s">
        <v>34</v>
      </c>
      <c r="J18" s="17">
        <v>16.489999999999998</v>
      </c>
      <c r="K18" s="17">
        <v>-2.1</v>
      </c>
      <c r="L18" s="17">
        <f t="shared" si="0"/>
        <v>-34629</v>
      </c>
      <c r="M18" s="17">
        <f t="shared" si="1"/>
        <v>-0.34628999999999999</v>
      </c>
    </row>
    <row r="19" spans="1:13" ht="18.75" customHeight="1" x14ac:dyDescent="0.25">
      <c r="A19" s="10">
        <v>15</v>
      </c>
      <c r="B19" s="15">
        <v>46129</v>
      </c>
      <c r="C19" s="10" t="s">
        <v>35</v>
      </c>
      <c r="D19" s="10" t="s">
        <v>18</v>
      </c>
      <c r="E19" s="10" t="s">
        <v>0</v>
      </c>
      <c r="F19" s="10" t="s">
        <v>11</v>
      </c>
      <c r="G19" s="10" t="s">
        <v>4</v>
      </c>
      <c r="H19" s="16">
        <v>15320</v>
      </c>
      <c r="I19" s="21" t="s">
        <v>36</v>
      </c>
      <c r="J19" s="17">
        <v>15.32</v>
      </c>
      <c r="K19" s="17">
        <v>-0.2</v>
      </c>
      <c r="L19" s="17">
        <f t="shared" si="0"/>
        <v>-3064</v>
      </c>
      <c r="M19" s="17">
        <f t="shared" si="1"/>
        <v>-3.0640000000000001E-2</v>
      </c>
    </row>
    <row r="20" spans="1:13" ht="18.75" customHeight="1" x14ac:dyDescent="0.25">
      <c r="A20" s="10">
        <v>16</v>
      </c>
      <c r="B20" s="15">
        <v>46131</v>
      </c>
      <c r="C20" s="10" t="s">
        <v>37</v>
      </c>
      <c r="D20" s="10" t="s">
        <v>38</v>
      </c>
      <c r="E20" s="10" t="s">
        <v>0</v>
      </c>
      <c r="F20" s="10" t="s">
        <v>47</v>
      </c>
      <c r="G20" s="10" t="s">
        <v>4</v>
      </c>
      <c r="H20" s="16">
        <v>21500</v>
      </c>
      <c r="I20" s="21" t="s">
        <v>40</v>
      </c>
      <c r="J20" s="17">
        <v>21.5</v>
      </c>
      <c r="K20" s="17">
        <v>-6.5</v>
      </c>
      <c r="L20" s="17">
        <f t="shared" si="0"/>
        <v>-139750</v>
      </c>
      <c r="M20" s="17">
        <f t="shared" si="1"/>
        <v>-1.3975</v>
      </c>
    </row>
    <row r="21" spans="1:13" ht="18.75" customHeight="1" x14ac:dyDescent="0.25">
      <c r="A21" s="10">
        <v>17</v>
      </c>
      <c r="B21" s="15">
        <v>46133</v>
      </c>
      <c r="C21" s="10" t="s">
        <v>41</v>
      </c>
      <c r="D21" s="10" t="s">
        <v>10</v>
      </c>
      <c r="E21" s="10" t="s">
        <v>0</v>
      </c>
      <c r="F21" s="10" t="s">
        <v>11</v>
      </c>
      <c r="G21" s="10" t="s">
        <v>4</v>
      </c>
      <c r="H21" s="16">
        <v>20640</v>
      </c>
      <c r="I21" s="21" t="s">
        <v>12</v>
      </c>
      <c r="J21" s="17">
        <v>20.64</v>
      </c>
      <c r="K21" s="17">
        <v>-0.2</v>
      </c>
      <c r="L21" s="17">
        <f t="shared" si="0"/>
        <v>-4128</v>
      </c>
      <c r="M21" s="17">
        <f t="shared" si="1"/>
        <v>-4.1279999999999997E-2</v>
      </c>
    </row>
    <row r="22" spans="1:13" ht="18.75" customHeight="1" x14ac:dyDescent="0.25">
      <c r="A22" s="10">
        <v>18</v>
      </c>
      <c r="B22" s="15">
        <v>46136</v>
      </c>
      <c r="C22" s="10" t="s">
        <v>42</v>
      </c>
      <c r="D22" s="10" t="s">
        <v>38</v>
      </c>
      <c r="E22" s="10" t="s">
        <v>0</v>
      </c>
      <c r="F22" s="10" t="s">
        <v>15</v>
      </c>
      <c r="G22" s="10" t="s">
        <v>4</v>
      </c>
      <c r="H22" s="16">
        <v>8710</v>
      </c>
      <c r="I22" s="21" t="s">
        <v>43</v>
      </c>
      <c r="J22" s="17">
        <v>8.7100000000000009</v>
      </c>
      <c r="K22" s="17">
        <v>-8</v>
      </c>
      <c r="L22" s="17">
        <f t="shared" si="0"/>
        <v>-69680</v>
      </c>
      <c r="M22" s="17">
        <f t="shared" si="1"/>
        <v>-0.69679999999999997</v>
      </c>
    </row>
    <row r="23" spans="1:13" ht="18.75" customHeight="1" x14ac:dyDescent="0.25">
      <c r="A23" s="10">
        <v>19</v>
      </c>
      <c r="B23" s="15">
        <v>46137</v>
      </c>
      <c r="C23" s="10" t="s">
        <v>44</v>
      </c>
      <c r="D23" s="10" t="s">
        <v>18</v>
      </c>
      <c r="E23" s="10" t="s">
        <v>0</v>
      </c>
      <c r="F23" s="10" t="s">
        <v>11</v>
      </c>
      <c r="G23" s="10" t="s">
        <v>4</v>
      </c>
      <c r="H23" s="16">
        <v>16810</v>
      </c>
      <c r="I23" s="21" t="s">
        <v>45</v>
      </c>
      <c r="J23" s="17">
        <v>16.809999999999999</v>
      </c>
      <c r="K23" s="17">
        <v>-0.2</v>
      </c>
      <c r="L23" s="17">
        <f t="shared" si="0"/>
        <v>-3362</v>
      </c>
      <c r="M23" s="17">
        <f t="shared" si="1"/>
        <v>-3.3619999999999997E-2</v>
      </c>
    </row>
    <row r="24" spans="1:13" ht="18.75" customHeight="1" x14ac:dyDescent="0.25">
      <c r="A24" s="10">
        <v>20</v>
      </c>
      <c r="B24" s="15">
        <v>46142</v>
      </c>
      <c r="C24" s="10" t="s">
        <v>46</v>
      </c>
      <c r="D24" s="10" t="s">
        <v>38</v>
      </c>
      <c r="E24" s="10" t="s">
        <v>0</v>
      </c>
      <c r="F24" s="10" t="s">
        <v>47</v>
      </c>
      <c r="G24" s="10" t="s">
        <v>4</v>
      </c>
      <c r="H24" s="16">
        <v>21100</v>
      </c>
      <c r="I24" s="21" t="s">
        <v>48</v>
      </c>
      <c r="J24" s="17">
        <v>21.1</v>
      </c>
      <c r="K24" s="17">
        <v>-6.5</v>
      </c>
      <c r="L24" s="17">
        <f t="shared" si="0"/>
        <v>-137150</v>
      </c>
      <c r="M24" s="17">
        <f t="shared" si="1"/>
        <v>-1.3714999999999999</v>
      </c>
    </row>
    <row r="25" spans="1:13" ht="18.75" customHeight="1" x14ac:dyDescent="0.25">
      <c r="A25" s="10">
        <v>21</v>
      </c>
      <c r="B25" s="15">
        <v>46143</v>
      </c>
      <c r="C25" s="20" t="s">
        <v>77</v>
      </c>
      <c r="D25" s="21" t="s">
        <v>10</v>
      </c>
      <c r="E25" s="21"/>
      <c r="F25" s="21" t="s">
        <v>11</v>
      </c>
      <c r="G25" s="10" t="s">
        <v>4</v>
      </c>
      <c r="H25" s="22">
        <v>20200</v>
      </c>
      <c r="I25" s="21" t="s">
        <v>82</v>
      </c>
      <c r="J25" s="17">
        <f t="shared" ref="J25:J67" si="2">H25/1000</f>
        <v>20.2</v>
      </c>
      <c r="K25" s="17">
        <v>-0.2</v>
      </c>
      <c r="L25" s="17">
        <f t="shared" si="0"/>
        <v>-4040</v>
      </c>
      <c r="M25" s="17">
        <f t="shared" si="1"/>
        <v>-4.0399999999999998E-2</v>
      </c>
    </row>
    <row r="26" spans="1:13" ht="18.75" customHeight="1" x14ac:dyDescent="0.25">
      <c r="A26" s="10">
        <v>22</v>
      </c>
      <c r="B26" s="15">
        <v>46151</v>
      </c>
      <c r="C26" s="20" t="s">
        <v>78</v>
      </c>
      <c r="D26" s="21" t="s">
        <v>18</v>
      </c>
      <c r="E26" s="21"/>
      <c r="F26" s="21" t="s">
        <v>11</v>
      </c>
      <c r="G26" s="10" t="s">
        <v>4</v>
      </c>
      <c r="H26" s="22">
        <v>15760</v>
      </c>
      <c r="I26" s="21" t="s">
        <v>45</v>
      </c>
      <c r="J26" s="17">
        <f t="shared" si="2"/>
        <v>15.76</v>
      </c>
      <c r="K26" s="17">
        <v>-0.2</v>
      </c>
      <c r="L26" s="17">
        <f t="shared" si="0"/>
        <v>-3152</v>
      </c>
      <c r="M26" s="17">
        <f t="shared" si="1"/>
        <v>-3.1519999999999999E-2</v>
      </c>
    </row>
    <row r="27" spans="1:13" ht="18.75" customHeight="1" x14ac:dyDescent="0.25">
      <c r="A27" s="10">
        <v>23</v>
      </c>
      <c r="B27" s="15">
        <v>46154</v>
      </c>
      <c r="C27" s="20" t="s">
        <v>79</v>
      </c>
      <c r="D27" s="10" t="s">
        <v>65</v>
      </c>
      <c r="E27" s="21"/>
      <c r="F27" s="10" t="s">
        <v>47</v>
      </c>
      <c r="G27" s="10" t="s">
        <v>4</v>
      </c>
      <c r="H27" s="22">
        <v>20760</v>
      </c>
      <c r="I27" s="21" t="s">
        <v>83</v>
      </c>
      <c r="J27" s="17">
        <f t="shared" si="2"/>
        <v>20.76</v>
      </c>
      <c r="K27" s="17">
        <v>-9</v>
      </c>
      <c r="L27" s="17">
        <f t="shared" si="0"/>
        <v>-186840</v>
      </c>
      <c r="M27" s="17">
        <f t="shared" si="1"/>
        <v>-1.8684000000000001</v>
      </c>
    </row>
    <row r="28" spans="1:13" ht="18.75" customHeight="1" x14ac:dyDescent="0.25">
      <c r="A28" s="10">
        <v>24</v>
      </c>
      <c r="B28" s="15">
        <v>46156</v>
      </c>
      <c r="C28" s="20" t="s">
        <v>80</v>
      </c>
      <c r="D28" s="21" t="s">
        <v>10</v>
      </c>
      <c r="E28" s="21"/>
      <c r="F28" s="21" t="s">
        <v>11</v>
      </c>
      <c r="G28" s="10" t="s">
        <v>4</v>
      </c>
      <c r="H28" s="22">
        <v>19570</v>
      </c>
      <c r="I28" s="21" t="s">
        <v>82</v>
      </c>
      <c r="J28" s="17">
        <f t="shared" si="2"/>
        <v>19.57</v>
      </c>
      <c r="K28" s="17">
        <v>-0.2</v>
      </c>
      <c r="L28" s="17">
        <f t="shared" si="0"/>
        <v>-3914</v>
      </c>
      <c r="M28" s="17">
        <f t="shared" si="1"/>
        <v>-3.9140000000000001E-2</v>
      </c>
    </row>
    <row r="29" spans="1:13" ht="18.75" customHeight="1" x14ac:dyDescent="0.25">
      <c r="A29" s="10">
        <v>25</v>
      </c>
      <c r="B29" s="15">
        <v>46157</v>
      </c>
      <c r="C29" s="20" t="s">
        <v>81</v>
      </c>
      <c r="D29" s="10" t="s">
        <v>65</v>
      </c>
      <c r="E29" s="21"/>
      <c r="F29" s="21" t="s">
        <v>15</v>
      </c>
      <c r="G29" s="10" t="s">
        <v>4</v>
      </c>
      <c r="H29" s="22">
        <v>8050</v>
      </c>
      <c r="I29" s="21" t="s">
        <v>84</v>
      </c>
      <c r="J29" s="17">
        <f t="shared" si="2"/>
        <v>8.0500000000000007</v>
      </c>
      <c r="K29" s="17">
        <v>-9</v>
      </c>
      <c r="L29" s="17">
        <f t="shared" si="0"/>
        <v>-72450</v>
      </c>
      <c r="M29" s="17">
        <f t="shared" si="1"/>
        <v>-0.72450000000000003</v>
      </c>
    </row>
    <row r="30" spans="1:13" ht="18.75" customHeight="1" x14ac:dyDescent="0.25">
      <c r="A30" s="10">
        <v>26</v>
      </c>
      <c r="B30" s="15">
        <v>46158</v>
      </c>
      <c r="C30" s="10" t="s">
        <v>85</v>
      </c>
      <c r="D30" s="10" t="s">
        <v>2</v>
      </c>
      <c r="E30" s="10" t="s">
        <v>0</v>
      </c>
      <c r="F30" s="10" t="s">
        <v>3</v>
      </c>
      <c r="G30" s="10" t="s">
        <v>4</v>
      </c>
      <c r="H30" s="23">
        <v>25750</v>
      </c>
      <c r="I30" s="21" t="s">
        <v>86</v>
      </c>
      <c r="J30" s="17">
        <f t="shared" si="2"/>
        <v>25.75</v>
      </c>
      <c r="K30" s="10">
        <v>-2.6</v>
      </c>
      <c r="L30" s="10">
        <f t="shared" si="0"/>
        <v>-66950</v>
      </c>
      <c r="M30" s="10">
        <f t="shared" si="1"/>
        <v>-0.66949999999999998</v>
      </c>
    </row>
    <row r="31" spans="1:13" ht="18.75" customHeight="1" x14ac:dyDescent="0.25">
      <c r="A31" s="10">
        <v>27</v>
      </c>
      <c r="B31" s="15">
        <v>46158</v>
      </c>
      <c r="C31" s="10" t="s">
        <v>87</v>
      </c>
      <c r="D31" s="10" t="s">
        <v>2</v>
      </c>
      <c r="E31" s="10" t="s">
        <v>0</v>
      </c>
      <c r="F31" s="10" t="s">
        <v>3</v>
      </c>
      <c r="G31" s="10" t="s">
        <v>4</v>
      </c>
      <c r="H31" s="23">
        <v>21100</v>
      </c>
      <c r="I31" s="21" t="s">
        <v>88</v>
      </c>
      <c r="J31" s="17">
        <f t="shared" si="2"/>
        <v>21.1</v>
      </c>
      <c r="K31" s="10">
        <v>-2.6</v>
      </c>
      <c r="L31" s="10">
        <f t="shared" si="0"/>
        <v>-54860</v>
      </c>
      <c r="M31" s="10">
        <f t="shared" si="1"/>
        <v>-0.54859999999999998</v>
      </c>
    </row>
    <row r="32" spans="1:13" ht="18.75" customHeight="1" x14ac:dyDescent="0.25">
      <c r="A32" s="10">
        <v>28</v>
      </c>
      <c r="B32" s="15">
        <v>46161</v>
      </c>
      <c r="C32" s="10" t="s">
        <v>89</v>
      </c>
      <c r="D32" s="10" t="s">
        <v>65</v>
      </c>
      <c r="E32" s="10" t="s">
        <v>0</v>
      </c>
      <c r="F32" s="10" t="s">
        <v>47</v>
      </c>
      <c r="G32" s="10" t="s">
        <v>4</v>
      </c>
      <c r="H32" s="23">
        <v>20470</v>
      </c>
      <c r="I32" s="21" t="s">
        <v>90</v>
      </c>
      <c r="J32" s="17">
        <f t="shared" si="2"/>
        <v>20.47</v>
      </c>
      <c r="K32" s="17">
        <v>-9</v>
      </c>
      <c r="L32" s="10">
        <f t="shared" si="0"/>
        <v>-184230</v>
      </c>
      <c r="M32" s="10">
        <f t="shared" si="1"/>
        <v>-1.8423</v>
      </c>
    </row>
    <row r="33" spans="1:13" ht="18.75" customHeight="1" x14ac:dyDescent="0.25">
      <c r="A33" s="10">
        <v>29</v>
      </c>
      <c r="B33" s="15">
        <v>46162</v>
      </c>
      <c r="C33" s="10" t="s">
        <v>91</v>
      </c>
      <c r="D33" s="10" t="s">
        <v>18</v>
      </c>
      <c r="E33" s="10" t="s">
        <v>0</v>
      </c>
      <c r="F33" s="10" t="s">
        <v>11</v>
      </c>
      <c r="G33" s="10" t="s">
        <v>4</v>
      </c>
      <c r="H33" s="23">
        <v>16780</v>
      </c>
      <c r="I33" s="21" t="s">
        <v>45</v>
      </c>
      <c r="J33" s="17">
        <f t="shared" si="2"/>
        <v>16.78</v>
      </c>
      <c r="K33" s="17">
        <v>-0.2</v>
      </c>
      <c r="L33" s="10">
        <f t="shared" si="0"/>
        <v>-3356</v>
      </c>
      <c r="M33" s="10">
        <f t="shared" si="1"/>
        <v>-3.356E-2</v>
      </c>
    </row>
    <row r="34" spans="1:13" ht="18.75" customHeight="1" x14ac:dyDescent="0.25">
      <c r="A34" s="10">
        <v>30</v>
      </c>
      <c r="B34" s="15">
        <v>46165</v>
      </c>
      <c r="C34" s="10" t="s">
        <v>92</v>
      </c>
      <c r="D34" s="10" t="s">
        <v>38</v>
      </c>
      <c r="E34" s="10"/>
      <c r="F34" s="10" t="s">
        <v>15</v>
      </c>
      <c r="G34" s="10" t="s">
        <v>4</v>
      </c>
      <c r="H34" s="23">
        <v>9480</v>
      </c>
      <c r="I34" s="21" t="s">
        <v>93</v>
      </c>
      <c r="J34" s="17">
        <f t="shared" si="2"/>
        <v>9.48</v>
      </c>
      <c r="K34" s="17">
        <v>-8</v>
      </c>
      <c r="L34" s="10">
        <f t="shared" si="0"/>
        <v>-75840</v>
      </c>
      <c r="M34" s="10">
        <f t="shared" si="1"/>
        <v>-0.75839999999999996</v>
      </c>
    </row>
    <row r="35" spans="1:13" ht="18.75" customHeight="1" x14ac:dyDescent="0.25">
      <c r="A35" s="10">
        <v>31</v>
      </c>
      <c r="B35" s="15">
        <v>46166</v>
      </c>
      <c r="C35" s="10" t="s">
        <v>94</v>
      </c>
      <c r="D35" s="10" t="s">
        <v>38</v>
      </c>
      <c r="E35" s="10"/>
      <c r="F35" s="10" t="s">
        <v>95</v>
      </c>
      <c r="G35" s="10" t="s">
        <v>4</v>
      </c>
      <c r="H35" s="23">
        <v>21220</v>
      </c>
      <c r="I35" s="21" t="s">
        <v>96</v>
      </c>
      <c r="J35" s="17">
        <f t="shared" si="2"/>
        <v>21.22</v>
      </c>
      <c r="K35" s="17">
        <v>-8</v>
      </c>
      <c r="L35" s="10">
        <f t="shared" si="0"/>
        <v>-169760</v>
      </c>
      <c r="M35" s="10">
        <f t="shared" si="1"/>
        <v>-1.6976</v>
      </c>
    </row>
    <row r="36" spans="1:13" ht="18.75" customHeight="1" x14ac:dyDescent="0.25">
      <c r="A36" s="10">
        <v>32</v>
      </c>
      <c r="B36" s="15">
        <v>46143</v>
      </c>
      <c r="C36" s="10" t="s">
        <v>77</v>
      </c>
      <c r="D36" s="10" t="s">
        <v>10</v>
      </c>
      <c r="E36" s="10" t="s">
        <v>0</v>
      </c>
      <c r="F36" s="10" t="s">
        <v>11</v>
      </c>
      <c r="G36" s="10" t="s">
        <v>4</v>
      </c>
      <c r="H36" s="23">
        <v>20200</v>
      </c>
      <c r="I36" s="21" t="s">
        <v>82</v>
      </c>
      <c r="J36" s="17">
        <f t="shared" si="2"/>
        <v>20.2</v>
      </c>
      <c r="K36" s="17">
        <v>-0.2</v>
      </c>
      <c r="L36" s="10">
        <f t="shared" ref="L36:L75" si="3">H36*K36</f>
        <v>-4040</v>
      </c>
      <c r="M36" s="10">
        <f t="shared" ref="M36:M75" si="4">L36/100000</f>
        <v>-4.0399999999999998E-2</v>
      </c>
    </row>
    <row r="37" spans="1:13" ht="18.75" customHeight="1" x14ac:dyDescent="0.25">
      <c r="A37" s="10">
        <v>33</v>
      </c>
      <c r="B37" s="15">
        <v>46151</v>
      </c>
      <c r="C37" s="10" t="s">
        <v>78</v>
      </c>
      <c r="D37" s="10" t="s">
        <v>18</v>
      </c>
      <c r="E37" s="10" t="s">
        <v>0</v>
      </c>
      <c r="F37" s="10" t="s">
        <v>11</v>
      </c>
      <c r="G37" s="10" t="s">
        <v>4</v>
      </c>
      <c r="H37" s="23">
        <v>15760</v>
      </c>
      <c r="I37" s="21" t="s">
        <v>45</v>
      </c>
      <c r="J37" s="17">
        <f t="shared" si="2"/>
        <v>15.76</v>
      </c>
      <c r="K37" s="17">
        <v>-0.2</v>
      </c>
      <c r="L37" s="10">
        <f t="shared" si="3"/>
        <v>-3152</v>
      </c>
      <c r="M37" s="10">
        <f t="shared" si="4"/>
        <v>-3.1519999999999999E-2</v>
      </c>
    </row>
    <row r="38" spans="1:13" ht="18.75" customHeight="1" x14ac:dyDescent="0.25">
      <c r="A38" s="10">
        <v>34</v>
      </c>
      <c r="B38" s="15">
        <v>46154</v>
      </c>
      <c r="C38" s="10" t="s">
        <v>79</v>
      </c>
      <c r="D38" s="10" t="s">
        <v>65</v>
      </c>
      <c r="E38" s="10" t="s">
        <v>0</v>
      </c>
      <c r="F38" s="10" t="s">
        <v>47</v>
      </c>
      <c r="G38" s="10" t="s">
        <v>4</v>
      </c>
      <c r="H38" s="23">
        <v>20760</v>
      </c>
      <c r="I38" s="21" t="s">
        <v>83</v>
      </c>
      <c r="J38" s="17">
        <f t="shared" si="2"/>
        <v>20.76</v>
      </c>
      <c r="K38" s="17">
        <v>-9</v>
      </c>
      <c r="L38" s="10">
        <f t="shared" si="3"/>
        <v>-186840</v>
      </c>
      <c r="M38" s="10">
        <f t="shared" si="4"/>
        <v>-1.8684000000000001</v>
      </c>
    </row>
    <row r="39" spans="1:13" ht="18.75" customHeight="1" x14ac:dyDescent="0.25">
      <c r="A39" s="10">
        <v>35</v>
      </c>
      <c r="B39" s="15">
        <v>46156</v>
      </c>
      <c r="C39" s="10" t="s">
        <v>80</v>
      </c>
      <c r="D39" s="10" t="s">
        <v>10</v>
      </c>
      <c r="E39" s="10" t="s">
        <v>0</v>
      </c>
      <c r="F39" s="10" t="s">
        <v>11</v>
      </c>
      <c r="G39" s="10" t="s">
        <v>4</v>
      </c>
      <c r="H39" s="23">
        <v>19570</v>
      </c>
      <c r="I39" s="21" t="s">
        <v>82</v>
      </c>
      <c r="J39" s="17">
        <f t="shared" si="2"/>
        <v>19.57</v>
      </c>
      <c r="K39" s="17">
        <v>-0.2</v>
      </c>
      <c r="L39" s="10">
        <f t="shared" si="3"/>
        <v>-3914</v>
      </c>
      <c r="M39" s="10">
        <f t="shared" si="4"/>
        <v>-3.9140000000000001E-2</v>
      </c>
    </row>
    <row r="40" spans="1:13" ht="18.75" customHeight="1" x14ac:dyDescent="0.25">
      <c r="A40" s="10">
        <v>36</v>
      </c>
      <c r="B40" s="15">
        <v>46157</v>
      </c>
      <c r="C40" s="10" t="s">
        <v>81</v>
      </c>
      <c r="D40" s="10" t="s">
        <v>65</v>
      </c>
      <c r="E40" s="10" t="s">
        <v>0</v>
      </c>
      <c r="F40" s="10" t="s">
        <v>15</v>
      </c>
      <c r="G40" s="10" t="s">
        <v>4</v>
      </c>
      <c r="H40" s="23">
        <v>8050</v>
      </c>
      <c r="I40" s="21" t="s">
        <v>84</v>
      </c>
      <c r="J40" s="17">
        <f t="shared" si="2"/>
        <v>8.0500000000000007</v>
      </c>
      <c r="K40" s="17">
        <v>-9</v>
      </c>
      <c r="L40" s="10">
        <f t="shared" si="3"/>
        <v>-72450</v>
      </c>
      <c r="M40" s="10">
        <f t="shared" si="4"/>
        <v>-0.72450000000000003</v>
      </c>
    </row>
    <row r="41" spans="1:13" ht="18.75" customHeight="1" x14ac:dyDescent="0.25">
      <c r="A41" s="10">
        <v>37</v>
      </c>
      <c r="B41" s="15">
        <v>46158</v>
      </c>
      <c r="C41" s="10" t="s">
        <v>85</v>
      </c>
      <c r="D41" s="10" t="s">
        <v>2</v>
      </c>
      <c r="E41" s="10" t="s">
        <v>0</v>
      </c>
      <c r="F41" s="10" t="s">
        <v>3</v>
      </c>
      <c r="G41" s="10" t="s">
        <v>4</v>
      </c>
      <c r="H41" s="23">
        <v>25750</v>
      </c>
      <c r="I41" s="21" t="s">
        <v>86</v>
      </c>
      <c r="J41" s="17">
        <f t="shared" si="2"/>
        <v>25.75</v>
      </c>
      <c r="K41" s="10">
        <v>-2.6</v>
      </c>
      <c r="L41" s="10">
        <f t="shared" si="3"/>
        <v>-66950</v>
      </c>
      <c r="M41" s="10">
        <f t="shared" si="4"/>
        <v>-0.66949999999999998</v>
      </c>
    </row>
    <row r="42" spans="1:13" ht="18.75" customHeight="1" x14ac:dyDescent="0.25">
      <c r="A42" s="10">
        <v>38</v>
      </c>
      <c r="B42" s="15">
        <v>46158</v>
      </c>
      <c r="C42" s="10" t="s">
        <v>87</v>
      </c>
      <c r="D42" s="10" t="s">
        <v>2</v>
      </c>
      <c r="E42" s="10" t="s">
        <v>0</v>
      </c>
      <c r="F42" s="10" t="s">
        <v>3</v>
      </c>
      <c r="G42" s="10" t="s">
        <v>4</v>
      </c>
      <c r="H42" s="23">
        <v>21100</v>
      </c>
      <c r="I42" s="21" t="s">
        <v>88</v>
      </c>
      <c r="J42" s="17">
        <f t="shared" si="2"/>
        <v>21.1</v>
      </c>
      <c r="K42" s="10">
        <v>-2.6</v>
      </c>
      <c r="L42" s="10">
        <f t="shared" si="3"/>
        <v>-54860</v>
      </c>
      <c r="M42" s="10">
        <f t="shared" si="4"/>
        <v>-0.54859999999999998</v>
      </c>
    </row>
    <row r="43" spans="1:13" ht="18.75" customHeight="1" x14ac:dyDescent="0.25">
      <c r="A43" s="10">
        <v>39</v>
      </c>
      <c r="B43" s="15">
        <v>46161</v>
      </c>
      <c r="C43" s="10" t="s">
        <v>89</v>
      </c>
      <c r="D43" s="10" t="s">
        <v>65</v>
      </c>
      <c r="E43" s="10" t="s">
        <v>0</v>
      </c>
      <c r="F43" s="10" t="s">
        <v>47</v>
      </c>
      <c r="G43" s="10" t="s">
        <v>4</v>
      </c>
      <c r="H43" s="23">
        <v>20470</v>
      </c>
      <c r="I43" s="21" t="s">
        <v>90</v>
      </c>
      <c r="J43" s="17">
        <f t="shared" si="2"/>
        <v>20.47</v>
      </c>
      <c r="K43" s="17">
        <v>-9</v>
      </c>
      <c r="L43" s="10">
        <f t="shared" si="3"/>
        <v>-184230</v>
      </c>
      <c r="M43" s="10">
        <f t="shared" si="4"/>
        <v>-1.8423</v>
      </c>
    </row>
    <row r="44" spans="1:13" ht="18.75" customHeight="1" x14ac:dyDescent="0.25">
      <c r="A44" s="10">
        <v>40</v>
      </c>
      <c r="B44" s="15">
        <v>46162</v>
      </c>
      <c r="C44" s="10" t="s">
        <v>91</v>
      </c>
      <c r="D44" s="10" t="s">
        <v>18</v>
      </c>
      <c r="E44" s="10" t="s">
        <v>0</v>
      </c>
      <c r="F44" s="10" t="s">
        <v>11</v>
      </c>
      <c r="G44" s="10" t="s">
        <v>4</v>
      </c>
      <c r="H44" s="23">
        <v>16780</v>
      </c>
      <c r="I44" s="21" t="s">
        <v>45</v>
      </c>
      <c r="J44" s="17">
        <f t="shared" si="2"/>
        <v>16.78</v>
      </c>
      <c r="K44" s="17">
        <v>-0.2</v>
      </c>
      <c r="L44" s="10">
        <f t="shared" si="3"/>
        <v>-3356</v>
      </c>
      <c r="M44" s="10">
        <f t="shared" si="4"/>
        <v>-3.356E-2</v>
      </c>
    </row>
    <row r="45" spans="1:13" ht="18.75" customHeight="1" x14ac:dyDescent="0.25">
      <c r="A45" s="10">
        <v>41</v>
      </c>
      <c r="B45" s="15">
        <v>46165</v>
      </c>
      <c r="C45" s="10" t="s">
        <v>92</v>
      </c>
      <c r="D45" s="10" t="s">
        <v>38</v>
      </c>
      <c r="E45" s="10" t="s">
        <v>0</v>
      </c>
      <c r="F45" s="10" t="s">
        <v>15</v>
      </c>
      <c r="G45" s="10" t="s">
        <v>4</v>
      </c>
      <c r="H45" s="23">
        <v>9480</v>
      </c>
      <c r="I45" s="21" t="s">
        <v>93</v>
      </c>
      <c r="J45" s="17">
        <f t="shared" si="2"/>
        <v>9.48</v>
      </c>
      <c r="K45" s="17">
        <v>-8</v>
      </c>
      <c r="L45" s="10">
        <f t="shared" si="3"/>
        <v>-75840</v>
      </c>
      <c r="M45" s="10">
        <f t="shared" si="4"/>
        <v>-0.75839999999999996</v>
      </c>
    </row>
    <row r="46" spans="1:13" ht="18.75" customHeight="1" x14ac:dyDescent="0.25">
      <c r="A46" s="10">
        <v>42</v>
      </c>
      <c r="B46" s="15">
        <v>46166</v>
      </c>
      <c r="C46" s="10" t="s">
        <v>94</v>
      </c>
      <c r="D46" s="10" t="s">
        <v>38</v>
      </c>
      <c r="E46" s="10" t="s">
        <v>0</v>
      </c>
      <c r="F46" s="10" t="s">
        <v>95</v>
      </c>
      <c r="G46" s="10" t="s">
        <v>4</v>
      </c>
      <c r="H46" s="23">
        <v>21220</v>
      </c>
      <c r="I46" s="21" t="s">
        <v>96</v>
      </c>
      <c r="J46" s="17">
        <f t="shared" si="2"/>
        <v>21.22</v>
      </c>
      <c r="K46" s="17">
        <v>-8</v>
      </c>
      <c r="L46" s="10">
        <f t="shared" si="3"/>
        <v>-169760</v>
      </c>
      <c r="M46" s="10">
        <f t="shared" si="4"/>
        <v>-1.6976</v>
      </c>
    </row>
    <row r="47" spans="1:13" ht="18.75" customHeight="1" x14ac:dyDescent="0.25">
      <c r="A47" s="10">
        <v>43</v>
      </c>
      <c r="B47" s="15">
        <v>46169</v>
      </c>
      <c r="C47" s="10" t="s">
        <v>97</v>
      </c>
      <c r="D47" s="10" t="s">
        <v>18</v>
      </c>
      <c r="E47" s="10" t="s">
        <v>0</v>
      </c>
      <c r="F47" s="10" t="s">
        <v>11</v>
      </c>
      <c r="G47" s="10" t="s">
        <v>4</v>
      </c>
      <c r="H47" s="23">
        <v>18180</v>
      </c>
      <c r="I47" s="21" t="s">
        <v>45</v>
      </c>
      <c r="J47" s="17">
        <f t="shared" si="2"/>
        <v>18.18</v>
      </c>
      <c r="K47" s="17">
        <v>-0.2</v>
      </c>
      <c r="L47" s="10">
        <f t="shared" si="3"/>
        <v>-3636</v>
      </c>
      <c r="M47" s="10">
        <f t="shared" si="4"/>
        <v>-3.6360000000000003E-2</v>
      </c>
    </row>
    <row r="48" spans="1:13" ht="18.75" customHeight="1" x14ac:dyDescent="0.25">
      <c r="A48" s="10">
        <v>44</v>
      </c>
      <c r="B48" s="15">
        <v>46169</v>
      </c>
      <c r="C48" s="10" t="s">
        <v>98</v>
      </c>
      <c r="D48" s="10" t="s">
        <v>2</v>
      </c>
      <c r="E48" s="10" t="s">
        <v>0</v>
      </c>
      <c r="F48" s="10" t="s">
        <v>3</v>
      </c>
      <c r="G48" s="10" t="s">
        <v>4</v>
      </c>
      <c r="H48" s="23">
        <v>24130</v>
      </c>
      <c r="I48" s="21" t="s">
        <v>99</v>
      </c>
      <c r="J48" s="17">
        <f t="shared" si="2"/>
        <v>24.13</v>
      </c>
      <c r="K48" s="10">
        <v>-2.6</v>
      </c>
      <c r="L48" s="10">
        <f t="shared" si="3"/>
        <v>-62738</v>
      </c>
      <c r="M48" s="10">
        <f t="shared" si="4"/>
        <v>-0.62738000000000005</v>
      </c>
    </row>
    <row r="49" spans="1:13" ht="18.75" customHeight="1" x14ac:dyDescent="0.25">
      <c r="A49" s="10">
        <v>45</v>
      </c>
      <c r="B49" s="15">
        <v>46169</v>
      </c>
      <c r="C49" s="10" t="s">
        <v>100</v>
      </c>
      <c r="D49" s="10" t="s">
        <v>2</v>
      </c>
      <c r="E49" s="10" t="s">
        <v>0</v>
      </c>
      <c r="F49" s="10" t="s">
        <v>3</v>
      </c>
      <c r="G49" s="10" t="s">
        <v>4</v>
      </c>
      <c r="H49" s="23">
        <v>19360</v>
      </c>
      <c r="I49" s="21" t="s">
        <v>0</v>
      </c>
      <c r="J49" s="17">
        <f t="shared" si="2"/>
        <v>19.36</v>
      </c>
      <c r="K49" s="10">
        <v>-2.6</v>
      </c>
      <c r="L49" s="10">
        <f t="shared" si="3"/>
        <v>-50336</v>
      </c>
      <c r="M49" s="10">
        <f t="shared" si="4"/>
        <v>-0.50336000000000003</v>
      </c>
    </row>
    <row r="50" spans="1:13" ht="18.75" customHeight="1" x14ac:dyDescent="0.25">
      <c r="A50" s="10">
        <v>46</v>
      </c>
      <c r="B50" s="15">
        <v>46169</v>
      </c>
      <c r="C50" s="10" t="s">
        <v>101</v>
      </c>
      <c r="D50" s="10" t="s">
        <v>65</v>
      </c>
      <c r="E50" s="10" t="s">
        <v>0</v>
      </c>
      <c r="F50" s="10" t="s">
        <v>47</v>
      </c>
      <c r="G50" s="10" t="s">
        <v>4</v>
      </c>
      <c r="H50" s="23">
        <v>22200</v>
      </c>
      <c r="I50" s="21" t="s">
        <v>102</v>
      </c>
      <c r="J50" s="16">
        <f t="shared" si="2"/>
        <v>22.2</v>
      </c>
      <c r="K50" s="17">
        <v>-9</v>
      </c>
      <c r="L50" s="10">
        <f t="shared" si="3"/>
        <v>-199800</v>
      </c>
      <c r="M50" s="10">
        <f t="shared" si="4"/>
        <v>-1.998</v>
      </c>
    </row>
    <row r="51" spans="1:13" ht="18.75" customHeight="1" x14ac:dyDescent="0.25">
      <c r="A51" s="10">
        <v>47</v>
      </c>
      <c r="B51" s="15">
        <v>46172</v>
      </c>
      <c r="C51" s="10" t="s">
        <v>103</v>
      </c>
      <c r="D51" s="10" t="s">
        <v>18</v>
      </c>
      <c r="E51" s="10" t="s">
        <v>0</v>
      </c>
      <c r="F51" s="10" t="s">
        <v>11</v>
      </c>
      <c r="G51" s="10" t="s">
        <v>4</v>
      </c>
      <c r="H51" s="23">
        <v>22240</v>
      </c>
      <c r="I51" s="21" t="s">
        <v>104</v>
      </c>
      <c r="J51" s="17">
        <f t="shared" si="2"/>
        <v>22.24</v>
      </c>
      <c r="K51" s="17">
        <v>-0.2</v>
      </c>
      <c r="L51" s="10">
        <f t="shared" si="3"/>
        <v>-4448</v>
      </c>
      <c r="M51" s="10">
        <f t="shared" si="4"/>
        <v>-4.4479999999999999E-2</v>
      </c>
    </row>
    <row r="52" spans="1:13" ht="18.75" customHeight="1" x14ac:dyDescent="0.25">
      <c r="A52" s="10">
        <v>48</v>
      </c>
      <c r="B52" s="15">
        <v>46178</v>
      </c>
      <c r="C52" s="10" t="s">
        <v>124</v>
      </c>
      <c r="D52" s="10" t="s">
        <v>18</v>
      </c>
      <c r="E52" s="10" t="s">
        <v>0</v>
      </c>
      <c r="F52" s="10" t="s">
        <v>11</v>
      </c>
      <c r="G52" s="10" t="s">
        <v>4</v>
      </c>
      <c r="H52" s="23">
        <v>28020</v>
      </c>
      <c r="I52" s="26" t="s">
        <v>125</v>
      </c>
      <c r="J52" s="17">
        <f t="shared" si="2"/>
        <v>28.02</v>
      </c>
      <c r="K52" s="17">
        <v>-0.2</v>
      </c>
      <c r="L52" s="10">
        <f t="shared" ref="L52:L67" si="5">H52*K52</f>
        <v>-5604</v>
      </c>
      <c r="M52" s="10">
        <f t="shared" ref="M52:M67" si="6">L52/100000</f>
        <v>-5.604E-2</v>
      </c>
    </row>
    <row r="53" spans="1:13" ht="18.75" customHeight="1" x14ac:dyDescent="0.25">
      <c r="A53" s="10">
        <v>49</v>
      </c>
      <c r="B53" s="15">
        <v>46179</v>
      </c>
      <c r="C53" s="10" t="s">
        <v>126</v>
      </c>
      <c r="D53" s="10" t="s">
        <v>127</v>
      </c>
      <c r="E53" s="10" t="s">
        <v>0</v>
      </c>
      <c r="F53" s="10" t="s">
        <v>3</v>
      </c>
      <c r="G53" s="10" t="s">
        <v>4</v>
      </c>
      <c r="H53" s="23">
        <v>26070</v>
      </c>
      <c r="I53" s="26" t="s">
        <v>128</v>
      </c>
      <c r="J53" s="17">
        <f t="shared" si="2"/>
        <v>26.07</v>
      </c>
      <c r="K53" s="17">
        <v>-2.6</v>
      </c>
      <c r="L53" s="10">
        <f t="shared" si="5"/>
        <v>-67782</v>
      </c>
      <c r="M53" s="10">
        <f t="shared" si="6"/>
        <v>-0.67781999999999998</v>
      </c>
    </row>
    <row r="54" spans="1:13" ht="18.75" customHeight="1" x14ac:dyDescent="0.25">
      <c r="A54" s="10">
        <v>50</v>
      </c>
      <c r="B54" s="15">
        <v>46179</v>
      </c>
      <c r="C54" s="10" t="s">
        <v>129</v>
      </c>
      <c r="D54" s="10" t="s">
        <v>127</v>
      </c>
      <c r="E54" s="10" t="s">
        <v>0</v>
      </c>
      <c r="F54" s="10" t="s">
        <v>3</v>
      </c>
      <c r="G54" s="10" t="s">
        <v>4</v>
      </c>
      <c r="H54" s="23">
        <v>16730</v>
      </c>
      <c r="I54" s="26" t="s">
        <v>130</v>
      </c>
      <c r="J54" s="17">
        <f t="shared" si="2"/>
        <v>16.73</v>
      </c>
      <c r="K54" s="17">
        <v>-2.6</v>
      </c>
      <c r="L54" s="10">
        <f t="shared" si="5"/>
        <v>-43498</v>
      </c>
      <c r="M54" s="10">
        <f t="shared" si="6"/>
        <v>-0.43497999999999998</v>
      </c>
    </row>
    <row r="55" spans="1:13" ht="18.75" customHeight="1" x14ac:dyDescent="0.25">
      <c r="A55" s="10">
        <v>51</v>
      </c>
      <c r="B55" s="15">
        <v>46182</v>
      </c>
      <c r="C55" s="10" t="s">
        <v>131</v>
      </c>
      <c r="D55" s="10" t="s">
        <v>18</v>
      </c>
      <c r="E55" s="10" t="s">
        <v>0</v>
      </c>
      <c r="F55" s="10" t="s">
        <v>11</v>
      </c>
      <c r="G55" s="10" t="s">
        <v>4</v>
      </c>
      <c r="H55" s="23">
        <v>25490</v>
      </c>
      <c r="I55" s="26" t="s">
        <v>104</v>
      </c>
      <c r="J55" s="17">
        <f t="shared" si="2"/>
        <v>25.49</v>
      </c>
      <c r="K55" s="17">
        <v>-0.2</v>
      </c>
      <c r="L55" s="10">
        <f t="shared" si="5"/>
        <v>-5098</v>
      </c>
      <c r="M55" s="10">
        <f t="shared" si="6"/>
        <v>-5.0979999999999998E-2</v>
      </c>
    </row>
    <row r="56" spans="1:13" ht="18.75" customHeight="1" x14ac:dyDescent="0.25">
      <c r="A56" s="10">
        <v>52</v>
      </c>
      <c r="B56" s="15">
        <v>46183</v>
      </c>
      <c r="C56" s="10" t="s">
        <v>132</v>
      </c>
      <c r="D56" s="10" t="s">
        <v>14</v>
      </c>
      <c r="E56" s="10" t="s">
        <v>133</v>
      </c>
      <c r="F56" s="10" t="s">
        <v>47</v>
      </c>
      <c r="G56" s="10" t="s">
        <v>134</v>
      </c>
      <c r="H56" s="23">
        <v>22380</v>
      </c>
      <c r="I56" s="26" t="s">
        <v>135</v>
      </c>
      <c r="J56" s="17">
        <f t="shared" si="2"/>
        <v>22.38</v>
      </c>
      <c r="K56" s="17">
        <v>-9</v>
      </c>
      <c r="L56" s="10">
        <f t="shared" si="5"/>
        <v>-201420</v>
      </c>
      <c r="M56" s="10">
        <f t="shared" si="6"/>
        <v>-2.0142000000000002</v>
      </c>
    </row>
    <row r="57" spans="1:13" ht="18.75" customHeight="1" x14ac:dyDescent="0.25">
      <c r="A57" s="10">
        <v>53</v>
      </c>
      <c r="B57" s="15">
        <v>46186</v>
      </c>
      <c r="C57" s="10" t="s">
        <v>136</v>
      </c>
      <c r="D57" s="10" t="s">
        <v>18</v>
      </c>
      <c r="E57" s="10" t="s">
        <v>0</v>
      </c>
      <c r="F57" s="10" t="s">
        <v>11</v>
      </c>
      <c r="G57" s="10" t="s">
        <v>4</v>
      </c>
      <c r="H57" s="23">
        <v>16070</v>
      </c>
      <c r="I57" s="26" t="s">
        <v>36</v>
      </c>
      <c r="J57" s="17">
        <f t="shared" si="2"/>
        <v>16.07</v>
      </c>
      <c r="K57" s="17">
        <v>-0.2</v>
      </c>
      <c r="L57" s="10">
        <f t="shared" si="5"/>
        <v>-3214</v>
      </c>
      <c r="M57" s="10">
        <f t="shared" si="6"/>
        <v>-3.2140000000000002E-2</v>
      </c>
    </row>
    <row r="58" spans="1:13" ht="18.75" customHeight="1" x14ac:dyDescent="0.25">
      <c r="A58" s="10">
        <v>54</v>
      </c>
      <c r="B58" s="15">
        <v>46186</v>
      </c>
      <c r="C58" s="10" t="s">
        <v>137</v>
      </c>
      <c r="D58" s="10" t="s">
        <v>2</v>
      </c>
      <c r="E58" s="10" t="s">
        <v>0</v>
      </c>
      <c r="F58" s="10" t="s">
        <v>3</v>
      </c>
      <c r="G58" s="10" t="s">
        <v>4</v>
      </c>
      <c r="H58" s="23">
        <v>27200</v>
      </c>
      <c r="I58" s="26" t="s">
        <v>138</v>
      </c>
      <c r="J58" s="17">
        <f t="shared" si="2"/>
        <v>27.2</v>
      </c>
      <c r="K58" s="17">
        <v>-2.6</v>
      </c>
      <c r="L58" s="10">
        <f t="shared" si="5"/>
        <v>-70720</v>
      </c>
      <c r="M58" s="10">
        <f t="shared" si="6"/>
        <v>-0.70720000000000005</v>
      </c>
    </row>
    <row r="59" spans="1:13" ht="18.75" customHeight="1" x14ac:dyDescent="0.25">
      <c r="A59" s="10">
        <v>55</v>
      </c>
      <c r="B59" s="15">
        <v>46186</v>
      </c>
      <c r="C59" s="10" t="s">
        <v>139</v>
      </c>
      <c r="D59" s="10" t="s">
        <v>127</v>
      </c>
      <c r="E59" s="10" t="s">
        <v>0</v>
      </c>
      <c r="F59" s="10" t="s">
        <v>3</v>
      </c>
      <c r="G59" s="10" t="s">
        <v>4</v>
      </c>
      <c r="H59" s="23">
        <v>27200</v>
      </c>
      <c r="I59" s="26" t="s">
        <v>128</v>
      </c>
      <c r="J59" s="17">
        <f t="shared" si="2"/>
        <v>27.2</v>
      </c>
      <c r="K59" s="17">
        <v>-2.6</v>
      </c>
      <c r="L59" s="10">
        <f t="shared" si="5"/>
        <v>-70720</v>
      </c>
      <c r="M59" s="10">
        <f t="shared" si="6"/>
        <v>-0.70720000000000005</v>
      </c>
    </row>
    <row r="60" spans="1:13" ht="18.75" customHeight="1" x14ac:dyDescent="0.25">
      <c r="A60" s="10">
        <v>56</v>
      </c>
      <c r="B60" s="15">
        <v>46195</v>
      </c>
      <c r="C60" s="10" t="s">
        <v>140</v>
      </c>
      <c r="D60" s="10" t="s">
        <v>141</v>
      </c>
      <c r="E60" s="10" t="s">
        <v>0</v>
      </c>
      <c r="F60" s="10" t="s">
        <v>11</v>
      </c>
      <c r="G60" s="10" t="s">
        <v>4</v>
      </c>
      <c r="H60" s="23">
        <v>10740</v>
      </c>
      <c r="I60" s="26" t="s">
        <v>142</v>
      </c>
      <c r="J60" s="17">
        <f t="shared" si="2"/>
        <v>10.74</v>
      </c>
      <c r="K60" s="17">
        <v>-0.2</v>
      </c>
      <c r="L60" s="10">
        <f t="shared" si="5"/>
        <v>-2148</v>
      </c>
      <c r="M60" s="10">
        <f t="shared" si="6"/>
        <v>-2.1479999999999999E-2</v>
      </c>
    </row>
    <row r="61" spans="1:13" ht="18.75" customHeight="1" x14ac:dyDescent="0.25">
      <c r="A61" s="10">
        <v>57</v>
      </c>
      <c r="B61" s="15">
        <v>46195</v>
      </c>
      <c r="C61" s="10" t="s">
        <v>143</v>
      </c>
      <c r="D61" s="10" t="s">
        <v>18</v>
      </c>
      <c r="E61" s="10" t="s">
        <v>0</v>
      </c>
      <c r="F61" s="10" t="s">
        <v>11</v>
      </c>
      <c r="G61" s="10" t="s">
        <v>4</v>
      </c>
      <c r="H61" s="23">
        <v>23260</v>
      </c>
      <c r="I61" s="26" t="s">
        <v>144</v>
      </c>
      <c r="J61" s="17">
        <f t="shared" si="2"/>
        <v>23.26</v>
      </c>
      <c r="K61" s="17">
        <v>-0.2</v>
      </c>
      <c r="L61" s="10">
        <f t="shared" si="5"/>
        <v>-4652</v>
      </c>
      <c r="M61" s="10">
        <f t="shared" si="6"/>
        <v>-4.6519999999999999E-2</v>
      </c>
    </row>
    <row r="62" spans="1:13" ht="18.75" customHeight="1" x14ac:dyDescent="0.25">
      <c r="A62" s="10">
        <v>58</v>
      </c>
      <c r="B62" s="15">
        <v>46195</v>
      </c>
      <c r="C62" s="10" t="s">
        <v>145</v>
      </c>
      <c r="D62" s="10" t="s">
        <v>146</v>
      </c>
      <c r="E62" s="10" t="s">
        <v>0</v>
      </c>
      <c r="F62" s="10" t="s">
        <v>47</v>
      </c>
      <c r="G62" s="10" t="s">
        <v>4</v>
      </c>
      <c r="H62" s="23">
        <v>19890</v>
      </c>
      <c r="I62" s="26" t="s">
        <v>147</v>
      </c>
      <c r="J62" s="17">
        <f t="shared" si="2"/>
        <v>19.89</v>
      </c>
      <c r="K62" s="17">
        <v>-9</v>
      </c>
      <c r="L62" s="10">
        <f t="shared" si="5"/>
        <v>-179010</v>
      </c>
      <c r="M62" s="10">
        <f t="shared" si="6"/>
        <v>-1.7901</v>
      </c>
    </row>
    <row r="63" spans="1:13" ht="18.75" customHeight="1" x14ac:dyDescent="0.25">
      <c r="A63" s="10">
        <v>59</v>
      </c>
      <c r="B63" s="15">
        <v>46195</v>
      </c>
      <c r="C63" s="10" t="s">
        <v>148</v>
      </c>
      <c r="D63" s="10" t="s">
        <v>38</v>
      </c>
      <c r="E63" s="10" t="s">
        <v>0</v>
      </c>
      <c r="F63" s="10" t="s">
        <v>15</v>
      </c>
      <c r="G63" s="10" t="s">
        <v>4</v>
      </c>
      <c r="H63" s="23">
        <v>8490</v>
      </c>
      <c r="I63" s="26" t="s">
        <v>149</v>
      </c>
      <c r="J63" s="17">
        <f t="shared" si="2"/>
        <v>8.49</v>
      </c>
      <c r="K63" s="17">
        <v>-8</v>
      </c>
      <c r="L63" s="10">
        <f t="shared" si="5"/>
        <v>-67920</v>
      </c>
      <c r="M63" s="10">
        <f t="shared" si="6"/>
        <v>-0.67920000000000003</v>
      </c>
    </row>
    <row r="64" spans="1:13" ht="18.75" customHeight="1" x14ac:dyDescent="0.25">
      <c r="A64" s="10">
        <v>60</v>
      </c>
      <c r="B64" s="15">
        <v>46199</v>
      </c>
      <c r="C64" s="10" t="s">
        <v>150</v>
      </c>
      <c r="D64" s="10" t="s">
        <v>18</v>
      </c>
      <c r="E64" s="10" t="s">
        <v>0</v>
      </c>
      <c r="F64" s="10" t="s">
        <v>11</v>
      </c>
      <c r="G64" s="10" t="s">
        <v>4</v>
      </c>
      <c r="H64" s="23">
        <v>16670</v>
      </c>
      <c r="I64" s="26" t="s">
        <v>151</v>
      </c>
      <c r="J64" s="17">
        <f t="shared" si="2"/>
        <v>16.670000000000002</v>
      </c>
      <c r="K64" s="17">
        <v>-0.2</v>
      </c>
      <c r="L64" s="10">
        <f t="shared" si="5"/>
        <v>-3334</v>
      </c>
      <c r="M64" s="10">
        <f t="shared" si="6"/>
        <v>-3.3340000000000002E-2</v>
      </c>
    </row>
    <row r="65" spans="1:13" ht="18.75" customHeight="1" x14ac:dyDescent="0.25">
      <c r="A65" s="10">
        <v>61</v>
      </c>
      <c r="B65" s="15">
        <v>46202</v>
      </c>
      <c r="C65" s="10" t="s">
        <v>152</v>
      </c>
      <c r="D65" s="10" t="s">
        <v>141</v>
      </c>
      <c r="E65" s="10" t="s">
        <v>0</v>
      </c>
      <c r="F65" s="10" t="s">
        <v>11</v>
      </c>
      <c r="G65" s="10" t="s">
        <v>4</v>
      </c>
      <c r="H65" s="23">
        <v>9450</v>
      </c>
      <c r="I65" s="26" t="s">
        <v>153</v>
      </c>
      <c r="J65" s="17">
        <f t="shared" si="2"/>
        <v>9.4499999999999993</v>
      </c>
      <c r="K65" s="17">
        <v>-0.2</v>
      </c>
      <c r="L65" s="10">
        <f t="shared" si="5"/>
        <v>-1890</v>
      </c>
      <c r="M65" s="10">
        <f t="shared" si="6"/>
        <v>-1.89E-2</v>
      </c>
    </row>
    <row r="66" spans="1:13" ht="18.75" customHeight="1" x14ac:dyDescent="0.25">
      <c r="A66" s="10">
        <v>62</v>
      </c>
      <c r="B66" s="15">
        <v>46202</v>
      </c>
      <c r="C66" s="10" t="s">
        <v>154</v>
      </c>
      <c r="D66" s="10" t="s">
        <v>155</v>
      </c>
      <c r="E66" s="10" t="s">
        <v>0</v>
      </c>
      <c r="F66" s="10" t="s">
        <v>47</v>
      </c>
      <c r="G66" s="10" t="s">
        <v>4</v>
      </c>
      <c r="H66" s="23">
        <v>21090</v>
      </c>
      <c r="I66" s="26" t="s">
        <v>156</v>
      </c>
      <c r="J66" s="17">
        <f t="shared" si="2"/>
        <v>21.09</v>
      </c>
      <c r="K66" s="17">
        <v>-9</v>
      </c>
      <c r="L66" s="10">
        <f t="shared" si="5"/>
        <v>-189810</v>
      </c>
      <c r="M66" s="10">
        <f t="shared" si="6"/>
        <v>-1.8980999999999999</v>
      </c>
    </row>
    <row r="67" spans="1:13" ht="18.75" customHeight="1" x14ac:dyDescent="0.25">
      <c r="A67" s="10">
        <v>63</v>
      </c>
      <c r="B67" s="15">
        <v>46203</v>
      </c>
      <c r="C67" s="10" t="s">
        <v>158</v>
      </c>
      <c r="D67" s="10" t="s">
        <v>127</v>
      </c>
      <c r="E67" s="10" t="s">
        <v>0</v>
      </c>
      <c r="F67" s="10" t="s">
        <v>3</v>
      </c>
      <c r="G67" s="10" t="s">
        <v>4</v>
      </c>
      <c r="H67" s="23">
        <v>21100</v>
      </c>
      <c r="I67" s="26" t="s">
        <v>157</v>
      </c>
      <c r="J67" s="17">
        <f t="shared" si="2"/>
        <v>21.1</v>
      </c>
      <c r="K67" s="17">
        <v>-2.6</v>
      </c>
      <c r="L67" s="10">
        <f t="shared" si="5"/>
        <v>-54860</v>
      </c>
      <c r="M67" s="10">
        <f t="shared" si="6"/>
        <v>-0.54859999999999998</v>
      </c>
    </row>
    <row r="68" spans="1:13" ht="18.75" customHeight="1" x14ac:dyDescent="0.3">
      <c r="A68" s="10">
        <v>48</v>
      </c>
      <c r="B68" s="15">
        <v>46116</v>
      </c>
      <c r="C68" s="10" t="s">
        <v>66</v>
      </c>
      <c r="D68" s="10" t="s">
        <v>63</v>
      </c>
      <c r="E68" s="18">
        <v>151000015</v>
      </c>
      <c r="F68" s="10" t="s">
        <v>75</v>
      </c>
      <c r="G68" s="10" t="s">
        <v>4</v>
      </c>
      <c r="H68" s="16">
        <v>33630</v>
      </c>
      <c r="I68" s="24" t="s">
        <v>111</v>
      </c>
      <c r="J68" s="17">
        <f>H68/1000</f>
        <v>33.630000000000003</v>
      </c>
      <c r="K68" s="19">
        <v>-1</v>
      </c>
      <c r="L68" s="17">
        <f t="shared" si="3"/>
        <v>-33630</v>
      </c>
      <c r="M68" s="17">
        <f t="shared" si="4"/>
        <v>-0.33629999999999999</v>
      </c>
    </row>
    <row r="69" spans="1:13" ht="18.75" customHeight="1" x14ac:dyDescent="0.3">
      <c r="A69" s="10">
        <v>49</v>
      </c>
      <c r="B69" s="15">
        <v>46118</v>
      </c>
      <c r="C69" s="10" t="s">
        <v>67</v>
      </c>
      <c r="D69" s="10" t="s">
        <v>64</v>
      </c>
      <c r="E69" s="18">
        <v>151000013</v>
      </c>
      <c r="F69" s="10" t="s">
        <v>76</v>
      </c>
      <c r="G69" s="10" t="s">
        <v>4</v>
      </c>
      <c r="H69" s="16">
        <v>20420</v>
      </c>
      <c r="I69" s="1" t="s">
        <v>112</v>
      </c>
      <c r="J69" s="17">
        <f t="shared" ref="J69:J83" si="7">H69/1000</f>
        <v>20.420000000000002</v>
      </c>
      <c r="K69" s="19">
        <v>-8</v>
      </c>
      <c r="L69" s="17">
        <f t="shared" si="3"/>
        <v>-163360</v>
      </c>
      <c r="M69" s="17">
        <f t="shared" si="4"/>
        <v>-1.6335999999999999</v>
      </c>
    </row>
    <row r="70" spans="1:13" ht="18.75" customHeight="1" x14ac:dyDescent="0.3">
      <c r="A70" s="10">
        <v>50</v>
      </c>
      <c r="B70" s="15">
        <v>46119</v>
      </c>
      <c r="C70" s="10" t="s">
        <v>68</v>
      </c>
      <c r="D70" s="10" t="s">
        <v>8</v>
      </c>
      <c r="E70" s="18">
        <v>151000015</v>
      </c>
      <c r="F70" s="10" t="s">
        <v>75</v>
      </c>
      <c r="G70" s="10" t="s">
        <v>4</v>
      </c>
      <c r="H70" s="16">
        <v>36460</v>
      </c>
      <c r="I70" s="1" t="s">
        <v>113</v>
      </c>
      <c r="J70" s="17">
        <f t="shared" si="7"/>
        <v>36.46</v>
      </c>
      <c r="K70" s="19">
        <v>-1.5</v>
      </c>
      <c r="L70" s="17">
        <f t="shared" si="3"/>
        <v>-54690</v>
      </c>
      <c r="M70" s="17">
        <f t="shared" si="4"/>
        <v>-0.54690000000000005</v>
      </c>
    </row>
    <row r="71" spans="1:13" ht="18.75" customHeight="1" x14ac:dyDescent="0.3">
      <c r="A71" s="10">
        <v>51</v>
      </c>
      <c r="B71" s="15">
        <v>46123</v>
      </c>
      <c r="C71" s="10" t="s">
        <v>69</v>
      </c>
      <c r="D71" s="10" t="s">
        <v>65</v>
      </c>
      <c r="E71" s="18">
        <v>151000013</v>
      </c>
      <c r="F71" s="10" t="s">
        <v>76</v>
      </c>
      <c r="G71" s="10" t="s">
        <v>4</v>
      </c>
      <c r="H71" s="16">
        <v>21030</v>
      </c>
      <c r="I71" s="1" t="s">
        <v>114</v>
      </c>
      <c r="J71" s="17">
        <f t="shared" si="7"/>
        <v>21.03</v>
      </c>
      <c r="K71" s="19">
        <v>-9.5</v>
      </c>
      <c r="L71" s="17">
        <f t="shared" si="3"/>
        <v>-199785</v>
      </c>
      <c r="M71" s="17">
        <f t="shared" si="4"/>
        <v>-1.9978499999999999</v>
      </c>
    </row>
    <row r="72" spans="1:13" ht="18.75" customHeight="1" x14ac:dyDescent="0.3">
      <c r="A72" s="10">
        <v>52</v>
      </c>
      <c r="B72" s="15">
        <v>46123</v>
      </c>
      <c r="C72" s="10" t="s">
        <v>70</v>
      </c>
      <c r="D72" s="10" t="s">
        <v>65</v>
      </c>
      <c r="E72" s="18">
        <v>151000013</v>
      </c>
      <c r="F72" s="10" t="s">
        <v>76</v>
      </c>
      <c r="G72" s="10" t="s">
        <v>4</v>
      </c>
      <c r="H72" s="16">
        <v>31010</v>
      </c>
      <c r="I72" s="1" t="s">
        <v>115</v>
      </c>
      <c r="J72" s="17">
        <f t="shared" si="7"/>
        <v>31.01</v>
      </c>
      <c r="K72" s="19">
        <v>-9.5</v>
      </c>
      <c r="L72" s="17">
        <f t="shared" si="3"/>
        <v>-294595</v>
      </c>
      <c r="M72" s="17">
        <f t="shared" si="4"/>
        <v>-2.9459499999999998</v>
      </c>
    </row>
    <row r="73" spans="1:13" ht="18.75" customHeight="1" x14ac:dyDescent="0.3">
      <c r="A73" s="10">
        <v>53</v>
      </c>
      <c r="B73" s="15">
        <v>46125</v>
      </c>
      <c r="C73" s="10" t="s">
        <v>71</v>
      </c>
      <c r="D73" s="10" t="s">
        <v>8</v>
      </c>
      <c r="E73" s="18">
        <v>151000015</v>
      </c>
      <c r="F73" s="10" t="s">
        <v>75</v>
      </c>
      <c r="G73" s="10" t="s">
        <v>4</v>
      </c>
      <c r="H73" s="16">
        <v>31490</v>
      </c>
      <c r="I73" s="1" t="s">
        <v>116</v>
      </c>
      <c r="J73" s="17">
        <f t="shared" si="7"/>
        <v>31.49</v>
      </c>
      <c r="K73" s="19">
        <v>-1.5</v>
      </c>
      <c r="L73" s="17">
        <f t="shared" si="3"/>
        <v>-47235</v>
      </c>
      <c r="M73" s="17">
        <f t="shared" si="4"/>
        <v>-0.47234999999999999</v>
      </c>
    </row>
    <row r="74" spans="1:13" ht="18.75" customHeight="1" x14ac:dyDescent="0.3">
      <c r="A74" s="10">
        <v>54</v>
      </c>
      <c r="B74" s="15">
        <v>46136</v>
      </c>
      <c r="C74" s="10" t="s">
        <v>72</v>
      </c>
      <c r="D74" s="10" t="s">
        <v>8</v>
      </c>
      <c r="E74" s="18">
        <v>151000015</v>
      </c>
      <c r="F74" s="10" t="s">
        <v>75</v>
      </c>
      <c r="G74" s="10" t="s">
        <v>4</v>
      </c>
      <c r="H74" s="16">
        <v>30570</v>
      </c>
      <c r="I74" s="1" t="s">
        <v>117</v>
      </c>
      <c r="J74" s="17">
        <f t="shared" si="7"/>
        <v>30.57</v>
      </c>
      <c r="K74" s="19">
        <v>-1.5</v>
      </c>
      <c r="L74" s="17">
        <f t="shared" si="3"/>
        <v>-45855</v>
      </c>
      <c r="M74" s="17">
        <f t="shared" si="4"/>
        <v>-0.45855000000000001</v>
      </c>
    </row>
    <row r="75" spans="1:13" ht="18.75" customHeight="1" x14ac:dyDescent="0.3">
      <c r="A75" s="10">
        <v>55</v>
      </c>
      <c r="B75" s="15">
        <v>46142</v>
      </c>
      <c r="C75" s="10" t="s">
        <v>73</v>
      </c>
      <c r="D75" s="10" t="s">
        <v>8</v>
      </c>
      <c r="E75" s="18">
        <v>151000015</v>
      </c>
      <c r="F75" s="10" t="s">
        <v>75</v>
      </c>
      <c r="G75" s="10" t="s">
        <v>4</v>
      </c>
      <c r="H75" s="16">
        <v>30150</v>
      </c>
      <c r="I75" s="1" t="s">
        <v>118</v>
      </c>
      <c r="J75" s="17">
        <f t="shared" si="7"/>
        <v>30.15</v>
      </c>
      <c r="K75" s="19">
        <v>-1.5</v>
      </c>
      <c r="L75" s="17">
        <f t="shared" si="3"/>
        <v>-45225</v>
      </c>
      <c r="M75" s="17">
        <f t="shared" si="4"/>
        <v>-0.45224999999999999</v>
      </c>
    </row>
    <row r="76" spans="1:13" ht="18.75" customHeight="1" x14ac:dyDescent="0.3">
      <c r="A76" s="10">
        <v>56</v>
      </c>
      <c r="B76" s="15">
        <v>46144</v>
      </c>
      <c r="C76" s="10" t="s">
        <v>105</v>
      </c>
      <c r="D76" s="10" t="s">
        <v>65</v>
      </c>
      <c r="E76" s="18">
        <v>151000013</v>
      </c>
      <c r="F76" s="10" t="s">
        <v>76</v>
      </c>
      <c r="G76" s="10" t="s">
        <v>4</v>
      </c>
      <c r="H76" s="16">
        <v>27890</v>
      </c>
      <c r="I76" s="1" t="s">
        <v>119</v>
      </c>
      <c r="J76" s="17">
        <f t="shared" si="7"/>
        <v>27.89</v>
      </c>
      <c r="K76" s="19">
        <v>-9.5</v>
      </c>
      <c r="L76" s="17">
        <f t="shared" ref="L76:L81" si="8">H76*K76</f>
        <v>-264955</v>
      </c>
      <c r="M76" s="17">
        <f t="shared" ref="M76:M81" si="9">L76/100000</f>
        <v>-2.6495500000000001</v>
      </c>
    </row>
    <row r="77" spans="1:13" ht="18.75" customHeight="1" x14ac:dyDescent="0.3">
      <c r="A77" s="10">
        <v>57</v>
      </c>
      <c r="B77" s="15">
        <v>46159</v>
      </c>
      <c r="C77" s="10" t="s">
        <v>106</v>
      </c>
      <c r="D77" s="10" t="s">
        <v>8</v>
      </c>
      <c r="E77" s="18">
        <v>151000015</v>
      </c>
      <c r="F77" s="10" t="s">
        <v>75</v>
      </c>
      <c r="G77" s="10" t="s">
        <v>4</v>
      </c>
      <c r="H77" s="16">
        <v>25100</v>
      </c>
      <c r="I77" s="1" t="s">
        <v>118</v>
      </c>
      <c r="J77" s="17">
        <f t="shared" si="7"/>
        <v>25.1</v>
      </c>
      <c r="K77" s="19">
        <v>-1</v>
      </c>
      <c r="L77" s="17">
        <f t="shared" si="8"/>
        <v>-25100</v>
      </c>
      <c r="M77" s="17">
        <f t="shared" si="9"/>
        <v>-0.251</v>
      </c>
    </row>
    <row r="78" spans="1:13" ht="18.75" customHeight="1" x14ac:dyDescent="0.3">
      <c r="A78" s="10">
        <v>58</v>
      </c>
      <c r="B78" s="15">
        <v>46160</v>
      </c>
      <c r="C78" s="10" t="s">
        <v>107</v>
      </c>
      <c r="D78" s="10" t="s">
        <v>8</v>
      </c>
      <c r="E78" s="18">
        <v>151000015</v>
      </c>
      <c r="F78" s="10" t="s">
        <v>75</v>
      </c>
      <c r="G78" s="10" t="s">
        <v>4</v>
      </c>
      <c r="H78" s="16">
        <v>25600</v>
      </c>
      <c r="I78" s="1" t="s">
        <v>118</v>
      </c>
      <c r="J78" s="17">
        <f t="shared" si="7"/>
        <v>25.6</v>
      </c>
      <c r="K78" s="19">
        <v>-1</v>
      </c>
      <c r="L78" s="17">
        <f t="shared" si="8"/>
        <v>-25600</v>
      </c>
      <c r="M78" s="17">
        <f t="shared" si="9"/>
        <v>-0.25600000000000001</v>
      </c>
    </row>
    <row r="79" spans="1:13" ht="18.75" customHeight="1" x14ac:dyDescent="0.3">
      <c r="A79" s="10">
        <v>59</v>
      </c>
      <c r="B79" s="15">
        <v>46161</v>
      </c>
      <c r="C79" s="10" t="s">
        <v>108</v>
      </c>
      <c r="D79" s="10" t="s">
        <v>64</v>
      </c>
      <c r="E79" s="18">
        <v>151000013</v>
      </c>
      <c r="F79" s="10" t="s">
        <v>76</v>
      </c>
      <c r="G79" s="10" t="s">
        <v>4</v>
      </c>
      <c r="H79" s="16">
        <v>32230</v>
      </c>
      <c r="I79" s="1" t="s">
        <v>120</v>
      </c>
      <c r="J79" s="17">
        <f t="shared" si="7"/>
        <v>32.229999999999997</v>
      </c>
      <c r="K79" s="19">
        <v>-8</v>
      </c>
      <c r="L79" s="17">
        <f t="shared" si="8"/>
        <v>-257840</v>
      </c>
      <c r="M79" s="17">
        <f t="shared" si="9"/>
        <v>-2.5783999999999998</v>
      </c>
    </row>
    <row r="80" spans="1:13" ht="18.75" customHeight="1" x14ac:dyDescent="0.3">
      <c r="A80" s="10">
        <v>60</v>
      </c>
      <c r="B80" s="15">
        <v>46168</v>
      </c>
      <c r="C80" s="10" t="s">
        <v>109</v>
      </c>
      <c r="D80" s="10" t="s">
        <v>64</v>
      </c>
      <c r="E80" s="18">
        <v>151000013</v>
      </c>
      <c r="F80" s="10" t="s">
        <v>76</v>
      </c>
      <c r="G80" s="10" t="s">
        <v>4</v>
      </c>
      <c r="H80" s="16">
        <v>32010</v>
      </c>
      <c r="I80" s="1" t="s">
        <v>120</v>
      </c>
      <c r="J80" s="17">
        <f t="shared" si="7"/>
        <v>32.01</v>
      </c>
      <c r="K80" s="19">
        <v>-8</v>
      </c>
      <c r="L80" s="17">
        <f t="shared" si="8"/>
        <v>-256080</v>
      </c>
      <c r="M80" s="17">
        <f t="shared" si="9"/>
        <v>-2.5608</v>
      </c>
    </row>
    <row r="81" spans="1:13" ht="18.75" customHeight="1" x14ac:dyDescent="0.3">
      <c r="A81" s="10">
        <v>61</v>
      </c>
      <c r="B81" s="15">
        <v>46169</v>
      </c>
      <c r="C81" s="10" t="s">
        <v>110</v>
      </c>
      <c r="D81" s="10" t="s">
        <v>8</v>
      </c>
      <c r="E81" s="18">
        <v>151000015</v>
      </c>
      <c r="F81" s="10" t="s">
        <v>75</v>
      </c>
      <c r="G81" s="10" t="s">
        <v>4</v>
      </c>
      <c r="H81" s="16">
        <v>30290</v>
      </c>
      <c r="I81" s="1" t="s">
        <v>121</v>
      </c>
      <c r="J81" s="17">
        <f t="shared" si="7"/>
        <v>30.29</v>
      </c>
      <c r="K81" s="19">
        <v>-1</v>
      </c>
      <c r="L81" s="17">
        <f t="shared" si="8"/>
        <v>-30290</v>
      </c>
      <c r="M81" s="17">
        <f t="shared" si="9"/>
        <v>-0.3029</v>
      </c>
    </row>
    <row r="82" spans="1:13" ht="18.75" customHeight="1" x14ac:dyDescent="0.3">
      <c r="A82" s="10">
        <v>62</v>
      </c>
      <c r="B82" s="15">
        <v>46188</v>
      </c>
      <c r="C82" s="10" t="s">
        <v>159</v>
      </c>
      <c r="D82" s="10" t="s">
        <v>64</v>
      </c>
      <c r="E82" s="18">
        <v>151000013</v>
      </c>
      <c r="F82" s="10" t="s">
        <v>76</v>
      </c>
      <c r="G82" s="10" t="s">
        <v>4</v>
      </c>
      <c r="H82" s="16">
        <v>32110</v>
      </c>
      <c r="I82" s="1" t="s">
        <v>120</v>
      </c>
      <c r="J82" s="17">
        <f t="shared" si="7"/>
        <v>32.11</v>
      </c>
      <c r="K82" s="19">
        <v>-8</v>
      </c>
      <c r="L82" s="17">
        <f t="shared" ref="L82:L83" si="10">H82*K82</f>
        <v>-256880</v>
      </c>
      <c r="M82" s="17">
        <f t="shared" ref="M82:M83" si="11">L82/100000</f>
        <v>-2.5688</v>
      </c>
    </row>
    <row r="83" spans="1:13" ht="18.75" customHeight="1" x14ac:dyDescent="0.3">
      <c r="A83" s="10">
        <v>63</v>
      </c>
      <c r="B83" s="15">
        <v>46198</v>
      </c>
      <c r="C83" s="10" t="s">
        <v>160</v>
      </c>
      <c r="D83" s="10" t="s">
        <v>64</v>
      </c>
      <c r="E83" s="18">
        <v>151000013</v>
      </c>
      <c r="F83" s="10" t="s">
        <v>76</v>
      </c>
      <c r="G83" s="10" t="s">
        <v>4</v>
      </c>
      <c r="H83" s="16">
        <v>32150</v>
      </c>
      <c r="I83" s="1" t="s">
        <v>120</v>
      </c>
      <c r="J83" s="17">
        <f t="shared" si="7"/>
        <v>32.15</v>
      </c>
      <c r="K83" s="19">
        <v>-8</v>
      </c>
      <c r="L83" s="17">
        <f t="shared" si="10"/>
        <v>-257200</v>
      </c>
      <c r="M83" s="17">
        <f t="shared" si="11"/>
        <v>-2.5720000000000001</v>
      </c>
    </row>
  </sheetData>
  <autoFilter ref="A4:P4" xr:uid="{CC68AE3C-6EA2-4CFA-93F5-419A4DE86757}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M43"/>
  <sheetViews>
    <sheetView zoomScale="90" zoomScaleNormal="9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D18" sqref="D18"/>
    </sheetView>
  </sheetViews>
  <sheetFormatPr defaultColWidth="9.1796875" defaultRowHeight="18.75" customHeight="1" x14ac:dyDescent="0.25"/>
  <cols>
    <col min="1" max="1" width="6.1796875" style="1" customWidth="1"/>
    <col min="2" max="2" width="13" style="9" bestFit="1" customWidth="1"/>
    <col min="3" max="3" width="12" style="1" bestFit="1" customWidth="1"/>
    <col min="4" max="4" width="38.7265625" style="1" customWidth="1"/>
    <col min="5" max="5" width="17.1796875" style="1" bestFit="1" customWidth="1"/>
    <col min="6" max="6" width="42" style="1" bestFit="1" customWidth="1"/>
    <col min="7" max="7" width="5" style="1" bestFit="1" customWidth="1"/>
    <col min="8" max="8" width="12.54296875" style="1" customWidth="1"/>
    <col min="9" max="9" width="16.54296875" style="1" customWidth="1"/>
    <col min="10" max="12" width="9.1796875" style="1"/>
    <col min="13" max="13" width="11" style="1" customWidth="1"/>
    <col min="14" max="16384" width="9.1796875" style="1"/>
  </cols>
  <sheetData>
    <row r="3" spans="1:13" ht="16.5" customHeight="1" x14ac:dyDescent="0.25">
      <c r="A3" s="10"/>
      <c r="B3" s="11"/>
      <c r="C3" s="10"/>
      <c r="D3" s="10"/>
      <c r="E3" s="10"/>
      <c r="F3" s="10"/>
      <c r="G3" s="10"/>
      <c r="H3" s="10">
        <f>SUBTOTAL(9,H5:H24)</f>
        <v>394530</v>
      </c>
      <c r="I3" s="10"/>
      <c r="J3" s="10">
        <f>SUBTOTAL(9,J5:J24)</f>
        <v>394.53</v>
      </c>
      <c r="K3" s="10"/>
      <c r="L3" s="10">
        <f>SUBTOTAL(9,L5:L24)</f>
        <v>-1453697</v>
      </c>
      <c r="M3" s="10">
        <f>SUBTOTAL(9,M5:M24)</f>
        <v>-14.536969999999998</v>
      </c>
    </row>
    <row r="4" spans="1:13" ht="27" customHeight="1" x14ac:dyDescent="0.25">
      <c r="A4" s="12" t="s">
        <v>62</v>
      </c>
      <c r="B4" s="13" t="s">
        <v>49</v>
      </c>
      <c r="C4" s="14" t="s">
        <v>74</v>
      </c>
      <c r="D4" s="12" t="s">
        <v>50</v>
      </c>
      <c r="E4" s="12" t="s">
        <v>51</v>
      </c>
      <c r="F4" s="12" t="s">
        <v>52</v>
      </c>
      <c r="G4" s="12" t="s">
        <v>53</v>
      </c>
      <c r="H4" s="12" t="s">
        <v>54</v>
      </c>
      <c r="I4" s="12" t="s">
        <v>55</v>
      </c>
      <c r="J4" s="12" t="s">
        <v>56</v>
      </c>
      <c r="K4" s="12" t="s">
        <v>57</v>
      </c>
      <c r="L4" s="12" t="s">
        <v>58</v>
      </c>
      <c r="M4" s="14" t="s">
        <v>59</v>
      </c>
    </row>
    <row r="5" spans="1:13" ht="18.75" customHeight="1" x14ac:dyDescent="0.25">
      <c r="A5" s="10">
        <v>1</v>
      </c>
      <c r="B5" s="15">
        <v>46113</v>
      </c>
      <c r="C5" s="10" t="s">
        <v>1</v>
      </c>
      <c r="D5" s="10" t="s">
        <v>2</v>
      </c>
      <c r="E5" s="10" t="s">
        <v>0</v>
      </c>
      <c r="F5" s="10" t="s">
        <v>3</v>
      </c>
      <c r="G5" s="10" t="s">
        <v>4</v>
      </c>
      <c r="H5" s="16">
        <v>23160</v>
      </c>
      <c r="I5" s="10" t="s">
        <v>5</v>
      </c>
      <c r="J5" s="17">
        <v>23.16</v>
      </c>
      <c r="K5" s="17">
        <v>-2.1</v>
      </c>
      <c r="L5" s="17">
        <f>H5*K5</f>
        <v>-48636</v>
      </c>
      <c r="M5" s="17">
        <f>L5/100000</f>
        <v>-0.48636000000000001</v>
      </c>
    </row>
    <row r="6" spans="1:13" ht="18.75" customHeight="1" x14ac:dyDescent="0.25">
      <c r="A6" s="10">
        <v>2</v>
      </c>
      <c r="B6" s="15">
        <v>46113</v>
      </c>
      <c r="C6" s="10" t="s">
        <v>6</v>
      </c>
      <c r="D6" s="10" t="s">
        <v>2</v>
      </c>
      <c r="E6" s="10" t="s">
        <v>0</v>
      </c>
      <c r="F6" s="10" t="s">
        <v>3</v>
      </c>
      <c r="G6" s="10" t="s">
        <v>4</v>
      </c>
      <c r="H6" s="16">
        <v>24230</v>
      </c>
      <c r="I6" s="10" t="s">
        <v>7</v>
      </c>
      <c r="J6" s="17">
        <v>24.23</v>
      </c>
      <c r="K6" s="17">
        <v>-2.1</v>
      </c>
      <c r="L6" s="17">
        <f t="shared" ref="L6:L24" si="0">H6*K6</f>
        <v>-50883</v>
      </c>
      <c r="M6" s="17">
        <f t="shared" ref="M6:M24" si="1">L6/100000</f>
        <v>-0.50883</v>
      </c>
    </row>
    <row r="7" spans="1:13" ht="18.75" customHeight="1" x14ac:dyDescent="0.25">
      <c r="A7" s="10">
        <v>3</v>
      </c>
      <c r="B7" s="15">
        <v>46114</v>
      </c>
      <c r="C7" s="10" t="s">
        <v>9</v>
      </c>
      <c r="D7" s="10" t="s">
        <v>10</v>
      </c>
      <c r="E7" s="10" t="s">
        <v>0</v>
      </c>
      <c r="F7" s="10" t="s">
        <v>11</v>
      </c>
      <c r="G7" s="10" t="s">
        <v>4</v>
      </c>
      <c r="H7" s="16">
        <v>21180</v>
      </c>
      <c r="I7" s="10" t="s">
        <v>12</v>
      </c>
      <c r="J7" s="17">
        <v>21.18</v>
      </c>
      <c r="K7" s="17">
        <v>-2.5</v>
      </c>
      <c r="L7" s="17">
        <f t="shared" si="0"/>
        <v>-52950</v>
      </c>
      <c r="M7" s="17">
        <f t="shared" si="1"/>
        <v>-0.52949999999999997</v>
      </c>
    </row>
    <row r="8" spans="1:13" ht="18.75" customHeight="1" x14ac:dyDescent="0.25">
      <c r="A8" s="10">
        <v>4</v>
      </c>
      <c r="B8" s="15">
        <v>46118</v>
      </c>
      <c r="C8" s="10" t="s">
        <v>13</v>
      </c>
      <c r="D8" s="10" t="s">
        <v>14</v>
      </c>
      <c r="E8" s="10" t="s">
        <v>0</v>
      </c>
      <c r="F8" s="10" t="s">
        <v>15</v>
      </c>
      <c r="G8" s="10" t="s">
        <v>4</v>
      </c>
      <c r="H8" s="16">
        <v>19350</v>
      </c>
      <c r="I8" s="10" t="s">
        <v>16</v>
      </c>
      <c r="J8" s="17">
        <v>19.350000000000001</v>
      </c>
      <c r="K8" s="17">
        <v>-8</v>
      </c>
      <c r="L8" s="17">
        <f t="shared" si="0"/>
        <v>-154800</v>
      </c>
      <c r="M8" s="17">
        <f t="shared" si="1"/>
        <v>-1.548</v>
      </c>
    </row>
    <row r="9" spans="1:13" ht="18.75" customHeight="1" x14ac:dyDescent="0.25">
      <c r="A9" s="10">
        <v>5</v>
      </c>
      <c r="B9" s="15">
        <v>46118</v>
      </c>
      <c r="C9" s="10" t="s">
        <v>17</v>
      </c>
      <c r="D9" s="10" t="s">
        <v>18</v>
      </c>
      <c r="E9" s="10" t="s">
        <v>0</v>
      </c>
      <c r="F9" s="10" t="s">
        <v>11</v>
      </c>
      <c r="G9" s="10" t="s">
        <v>4</v>
      </c>
      <c r="H9" s="16">
        <v>21920</v>
      </c>
      <c r="I9" s="10" t="s">
        <v>19</v>
      </c>
      <c r="J9" s="17">
        <v>21.92</v>
      </c>
      <c r="K9" s="17">
        <v>-3.5</v>
      </c>
      <c r="L9" s="17">
        <f t="shared" si="0"/>
        <v>-76720</v>
      </c>
      <c r="M9" s="17">
        <f t="shared" si="1"/>
        <v>-0.76719999999999999</v>
      </c>
    </row>
    <row r="10" spans="1:13" ht="18.75" customHeight="1" x14ac:dyDescent="0.25">
      <c r="A10" s="10">
        <v>6</v>
      </c>
      <c r="B10" s="15">
        <v>46120</v>
      </c>
      <c r="C10" s="10" t="s">
        <v>20</v>
      </c>
      <c r="D10" s="10" t="s">
        <v>2</v>
      </c>
      <c r="E10" s="10" t="s">
        <v>0</v>
      </c>
      <c r="F10" s="10" t="s">
        <v>3</v>
      </c>
      <c r="G10" s="10" t="s">
        <v>4</v>
      </c>
      <c r="H10" s="16">
        <v>26260</v>
      </c>
      <c r="I10" s="10" t="s">
        <v>21</v>
      </c>
      <c r="J10" s="17">
        <v>26.26</v>
      </c>
      <c r="K10" s="17">
        <v>-2.1</v>
      </c>
      <c r="L10" s="17">
        <f t="shared" si="0"/>
        <v>-55146</v>
      </c>
      <c r="M10" s="17">
        <f t="shared" si="1"/>
        <v>-0.55145999999999995</v>
      </c>
    </row>
    <row r="11" spans="1:13" ht="18.75" customHeight="1" x14ac:dyDescent="0.25">
      <c r="A11" s="10">
        <v>7</v>
      </c>
      <c r="B11" s="15">
        <v>46120</v>
      </c>
      <c r="C11" s="10" t="s">
        <v>22</v>
      </c>
      <c r="D11" s="10" t="s">
        <v>14</v>
      </c>
      <c r="E11" s="10" t="s">
        <v>0</v>
      </c>
      <c r="F11" s="10" t="s">
        <v>15</v>
      </c>
      <c r="G11" s="10" t="s">
        <v>4</v>
      </c>
      <c r="H11" s="16">
        <v>20290</v>
      </c>
      <c r="I11" s="10" t="s">
        <v>23</v>
      </c>
      <c r="J11" s="17">
        <v>20.29</v>
      </c>
      <c r="K11" s="17">
        <v>-8</v>
      </c>
      <c r="L11" s="17">
        <f t="shared" si="0"/>
        <v>-162320</v>
      </c>
      <c r="M11" s="17">
        <f t="shared" si="1"/>
        <v>-1.6232</v>
      </c>
    </row>
    <row r="12" spans="1:13" ht="18.75" customHeight="1" x14ac:dyDescent="0.25">
      <c r="A12" s="10">
        <v>8</v>
      </c>
      <c r="B12" s="15">
        <v>46120</v>
      </c>
      <c r="C12" s="10" t="s">
        <v>24</v>
      </c>
      <c r="D12" s="10" t="s">
        <v>2</v>
      </c>
      <c r="E12" s="10" t="s">
        <v>0</v>
      </c>
      <c r="F12" s="10" t="s">
        <v>3</v>
      </c>
      <c r="G12" s="10" t="s">
        <v>4</v>
      </c>
      <c r="H12" s="16">
        <v>22640</v>
      </c>
      <c r="I12" s="10" t="s">
        <v>5</v>
      </c>
      <c r="J12" s="17">
        <v>22.64</v>
      </c>
      <c r="K12" s="17">
        <v>-2.1</v>
      </c>
      <c r="L12" s="17">
        <f t="shared" si="0"/>
        <v>-47544</v>
      </c>
      <c r="M12" s="17">
        <f t="shared" si="1"/>
        <v>-0.47543999999999997</v>
      </c>
    </row>
    <row r="13" spans="1:13" ht="18.75" customHeight="1" x14ac:dyDescent="0.25">
      <c r="A13" s="10">
        <v>9</v>
      </c>
      <c r="B13" s="15">
        <v>46125</v>
      </c>
      <c r="C13" s="10" t="s">
        <v>25</v>
      </c>
      <c r="D13" s="10" t="s">
        <v>10</v>
      </c>
      <c r="E13" s="10" t="s">
        <v>0</v>
      </c>
      <c r="F13" s="10" t="s">
        <v>11</v>
      </c>
      <c r="G13" s="10" t="s">
        <v>4</v>
      </c>
      <c r="H13" s="16">
        <v>18780</v>
      </c>
      <c r="I13" s="10" t="s">
        <v>12</v>
      </c>
      <c r="J13" s="17">
        <v>18.78</v>
      </c>
      <c r="K13" s="17">
        <v>-2.5</v>
      </c>
      <c r="L13" s="17">
        <f t="shared" si="0"/>
        <v>-46950</v>
      </c>
      <c r="M13" s="17">
        <f t="shared" si="1"/>
        <v>-0.46949999999999997</v>
      </c>
    </row>
    <row r="14" spans="1:13" ht="18.75" customHeight="1" x14ac:dyDescent="0.25">
      <c r="A14" s="10">
        <v>10</v>
      </c>
      <c r="B14" s="15">
        <v>46125</v>
      </c>
      <c r="C14" s="10" t="s">
        <v>26</v>
      </c>
      <c r="D14" s="10" t="s">
        <v>2</v>
      </c>
      <c r="E14" s="10" t="s">
        <v>0</v>
      </c>
      <c r="F14" s="10" t="s">
        <v>3</v>
      </c>
      <c r="G14" s="10" t="s">
        <v>4</v>
      </c>
      <c r="H14" s="16">
        <v>23850</v>
      </c>
      <c r="I14" s="10" t="s">
        <v>27</v>
      </c>
      <c r="J14" s="17">
        <v>23.85</v>
      </c>
      <c r="K14" s="17">
        <v>-2.1</v>
      </c>
      <c r="L14" s="17">
        <f t="shared" si="0"/>
        <v>-50085</v>
      </c>
      <c r="M14" s="17">
        <f t="shared" si="1"/>
        <v>-0.50085000000000002</v>
      </c>
    </row>
    <row r="15" spans="1:13" ht="18.75" customHeight="1" x14ac:dyDescent="0.25">
      <c r="A15" s="10">
        <v>11</v>
      </c>
      <c r="B15" s="15">
        <v>46125</v>
      </c>
      <c r="C15" s="10" t="s">
        <v>28</v>
      </c>
      <c r="D15" s="10" t="s">
        <v>2</v>
      </c>
      <c r="E15" s="10" t="s">
        <v>0</v>
      </c>
      <c r="F15" s="10" t="s">
        <v>3</v>
      </c>
      <c r="G15" s="10" t="s">
        <v>4</v>
      </c>
      <c r="H15" s="16">
        <v>22940</v>
      </c>
      <c r="I15" s="10" t="s">
        <v>29</v>
      </c>
      <c r="J15" s="17">
        <v>22.94</v>
      </c>
      <c r="K15" s="17">
        <v>-2.1</v>
      </c>
      <c r="L15" s="17">
        <f t="shared" si="0"/>
        <v>-48174</v>
      </c>
      <c r="M15" s="17">
        <f t="shared" si="1"/>
        <v>-0.48174</v>
      </c>
    </row>
    <row r="16" spans="1:13" ht="18.75" customHeight="1" x14ac:dyDescent="0.25">
      <c r="A16" s="10">
        <v>12</v>
      </c>
      <c r="B16" s="15">
        <v>46126</v>
      </c>
      <c r="C16" s="10" t="s">
        <v>30</v>
      </c>
      <c r="D16" s="10" t="s">
        <v>14</v>
      </c>
      <c r="E16" s="10" t="s">
        <v>0</v>
      </c>
      <c r="F16" s="10" t="s">
        <v>15</v>
      </c>
      <c r="G16" s="10" t="s">
        <v>4</v>
      </c>
      <c r="H16" s="16">
        <v>8910</v>
      </c>
      <c r="I16" s="10" t="s">
        <v>31</v>
      </c>
      <c r="J16" s="17">
        <v>8.91</v>
      </c>
      <c r="K16" s="17">
        <v>-8</v>
      </c>
      <c r="L16" s="17">
        <f t="shared" si="0"/>
        <v>-71280</v>
      </c>
      <c r="M16" s="17">
        <f t="shared" si="1"/>
        <v>-0.71279999999999999</v>
      </c>
    </row>
    <row r="17" spans="1:13" ht="18.75" customHeight="1" x14ac:dyDescent="0.25">
      <c r="A17" s="10">
        <v>13</v>
      </c>
      <c r="B17" s="15">
        <v>46127</v>
      </c>
      <c r="C17" s="10" t="s">
        <v>32</v>
      </c>
      <c r="D17" s="10" t="s">
        <v>2</v>
      </c>
      <c r="E17" s="10" t="s">
        <v>0</v>
      </c>
      <c r="F17" s="10" t="s">
        <v>3</v>
      </c>
      <c r="G17" s="10" t="s">
        <v>4</v>
      </c>
      <c r="H17" s="16">
        <v>20450</v>
      </c>
      <c r="I17" s="10" t="s">
        <v>5</v>
      </c>
      <c r="J17" s="17">
        <v>20.45</v>
      </c>
      <c r="K17" s="17">
        <v>-2.1</v>
      </c>
      <c r="L17" s="17">
        <f t="shared" si="0"/>
        <v>-42945</v>
      </c>
      <c r="M17" s="17">
        <f t="shared" si="1"/>
        <v>-0.42945</v>
      </c>
    </row>
    <row r="18" spans="1:13" ht="18.75" customHeight="1" x14ac:dyDescent="0.25">
      <c r="A18" s="10">
        <v>14</v>
      </c>
      <c r="B18" s="15">
        <v>46127</v>
      </c>
      <c r="C18" s="10" t="s">
        <v>33</v>
      </c>
      <c r="D18" s="10" t="s">
        <v>2</v>
      </c>
      <c r="E18" s="10" t="s">
        <v>0</v>
      </c>
      <c r="F18" s="10" t="s">
        <v>3</v>
      </c>
      <c r="G18" s="10" t="s">
        <v>4</v>
      </c>
      <c r="H18" s="16">
        <v>16490</v>
      </c>
      <c r="I18" s="10" t="s">
        <v>34</v>
      </c>
      <c r="J18" s="17">
        <v>16.489999999999998</v>
      </c>
      <c r="K18" s="17">
        <v>-2.1</v>
      </c>
      <c r="L18" s="17">
        <f t="shared" si="0"/>
        <v>-34629</v>
      </c>
      <c r="M18" s="17">
        <f t="shared" si="1"/>
        <v>-0.34628999999999999</v>
      </c>
    </row>
    <row r="19" spans="1:13" ht="18.75" customHeight="1" x14ac:dyDescent="0.25">
      <c r="A19" s="10">
        <v>15</v>
      </c>
      <c r="B19" s="15">
        <v>46129</v>
      </c>
      <c r="C19" s="10" t="s">
        <v>35</v>
      </c>
      <c r="D19" s="10" t="s">
        <v>18</v>
      </c>
      <c r="E19" s="10" t="s">
        <v>0</v>
      </c>
      <c r="F19" s="10" t="s">
        <v>11</v>
      </c>
      <c r="G19" s="10" t="s">
        <v>4</v>
      </c>
      <c r="H19" s="16">
        <v>15320</v>
      </c>
      <c r="I19" s="10" t="s">
        <v>36</v>
      </c>
      <c r="J19" s="17">
        <v>15.32</v>
      </c>
      <c r="K19" s="17">
        <v>-3.5</v>
      </c>
      <c r="L19" s="17">
        <f t="shared" si="0"/>
        <v>-53620</v>
      </c>
      <c r="M19" s="17">
        <f t="shared" si="1"/>
        <v>-0.53620000000000001</v>
      </c>
    </row>
    <row r="20" spans="1:13" ht="18.75" customHeight="1" x14ac:dyDescent="0.25">
      <c r="A20" s="10">
        <v>16</v>
      </c>
      <c r="B20" s="15">
        <v>46131</v>
      </c>
      <c r="C20" s="10" t="s">
        <v>37</v>
      </c>
      <c r="D20" s="10" t="s">
        <v>38</v>
      </c>
      <c r="E20" s="10" t="s">
        <v>0</v>
      </c>
      <c r="F20" s="10" t="s">
        <v>47</v>
      </c>
      <c r="G20" s="10" t="s">
        <v>4</v>
      </c>
      <c r="H20" s="16">
        <v>21500</v>
      </c>
      <c r="I20" s="10" t="s">
        <v>40</v>
      </c>
      <c r="J20" s="17">
        <v>21.5</v>
      </c>
      <c r="K20" s="17">
        <v>-6.5</v>
      </c>
      <c r="L20" s="17">
        <f t="shared" si="0"/>
        <v>-139750</v>
      </c>
      <c r="M20" s="17">
        <f t="shared" si="1"/>
        <v>-1.3975</v>
      </c>
    </row>
    <row r="21" spans="1:13" ht="18.75" customHeight="1" x14ac:dyDescent="0.25">
      <c r="A21" s="10">
        <v>17</v>
      </c>
      <c r="B21" s="15">
        <v>46133</v>
      </c>
      <c r="C21" s="10" t="s">
        <v>41</v>
      </c>
      <c r="D21" s="10" t="s">
        <v>10</v>
      </c>
      <c r="E21" s="10" t="s">
        <v>0</v>
      </c>
      <c r="F21" s="10" t="s">
        <v>11</v>
      </c>
      <c r="G21" s="10" t="s">
        <v>4</v>
      </c>
      <c r="H21" s="16">
        <v>20640</v>
      </c>
      <c r="I21" s="10" t="s">
        <v>12</v>
      </c>
      <c r="J21" s="17">
        <v>20.64</v>
      </c>
      <c r="K21" s="17">
        <v>-2.5</v>
      </c>
      <c r="L21" s="17">
        <f t="shared" si="0"/>
        <v>-51600</v>
      </c>
      <c r="M21" s="17">
        <f t="shared" si="1"/>
        <v>-0.51600000000000001</v>
      </c>
    </row>
    <row r="22" spans="1:13" ht="18.75" customHeight="1" x14ac:dyDescent="0.25">
      <c r="A22" s="10">
        <v>18</v>
      </c>
      <c r="B22" s="15">
        <v>46136</v>
      </c>
      <c r="C22" s="10" t="s">
        <v>42</v>
      </c>
      <c r="D22" s="10" t="s">
        <v>38</v>
      </c>
      <c r="E22" s="10" t="s">
        <v>0</v>
      </c>
      <c r="F22" s="10" t="s">
        <v>15</v>
      </c>
      <c r="G22" s="10" t="s">
        <v>4</v>
      </c>
      <c r="H22" s="16">
        <v>8710</v>
      </c>
      <c r="I22" s="10" t="s">
        <v>43</v>
      </c>
      <c r="J22" s="17">
        <v>8.7100000000000009</v>
      </c>
      <c r="K22" s="17">
        <v>-8</v>
      </c>
      <c r="L22" s="17">
        <f t="shared" si="0"/>
        <v>-69680</v>
      </c>
      <c r="M22" s="17">
        <f t="shared" si="1"/>
        <v>-0.69679999999999997</v>
      </c>
    </row>
    <row r="23" spans="1:13" ht="18.75" customHeight="1" x14ac:dyDescent="0.25">
      <c r="A23" s="10">
        <v>19</v>
      </c>
      <c r="B23" s="15">
        <v>46137</v>
      </c>
      <c r="C23" s="10" t="s">
        <v>44</v>
      </c>
      <c r="D23" s="10" t="s">
        <v>18</v>
      </c>
      <c r="E23" s="10" t="s">
        <v>0</v>
      </c>
      <c r="F23" s="10" t="s">
        <v>11</v>
      </c>
      <c r="G23" s="10" t="s">
        <v>4</v>
      </c>
      <c r="H23" s="16">
        <v>16810</v>
      </c>
      <c r="I23" s="10" t="s">
        <v>45</v>
      </c>
      <c r="J23" s="17">
        <v>16.809999999999999</v>
      </c>
      <c r="K23" s="17">
        <v>-3.5</v>
      </c>
      <c r="L23" s="17">
        <f t="shared" si="0"/>
        <v>-58835</v>
      </c>
      <c r="M23" s="17">
        <f t="shared" si="1"/>
        <v>-0.58835000000000004</v>
      </c>
    </row>
    <row r="24" spans="1:13" ht="18.75" customHeight="1" x14ac:dyDescent="0.25">
      <c r="A24" s="10">
        <v>20</v>
      </c>
      <c r="B24" s="15">
        <v>46142</v>
      </c>
      <c r="C24" s="10" t="s">
        <v>46</v>
      </c>
      <c r="D24" s="10" t="s">
        <v>38</v>
      </c>
      <c r="E24" s="10" t="s">
        <v>0</v>
      </c>
      <c r="F24" s="10" t="s">
        <v>47</v>
      </c>
      <c r="G24" s="10" t="s">
        <v>4</v>
      </c>
      <c r="H24" s="16">
        <v>21100</v>
      </c>
      <c r="I24" s="10" t="s">
        <v>48</v>
      </c>
      <c r="J24" s="17">
        <v>21.1</v>
      </c>
      <c r="K24" s="17">
        <v>-6.5</v>
      </c>
      <c r="L24" s="17">
        <f t="shared" si="0"/>
        <v>-137150</v>
      </c>
      <c r="M24" s="17">
        <f t="shared" si="1"/>
        <v>-1.3714999999999999</v>
      </c>
    </row>
    <row r="25" spans="1:13" ht="18.75" customHeight="1" x14ac:dyDescent="0.3">
      <c r="A25" s="10">
        <v>21</v>
      </c>
      <c r="B25" s="15">
        <v>46116</v>
      </c>
      <c r="C25" s="10" t="s">
        <v>66</v>
      </c>
      <c r="D25" s="10" t="s">
        <v>63</v>
      </c>
      <c r="E25" s="18">
        <v>151000015</v>
      </c>
      <c r="F25" s="10" t="s">
        <v>75</v>
      </c>
      <c r="G25" s="10" t="s">
        <v>4</v>
      </c>
      <c r="H25" s="16">
        <v>33630</v>
      </c>
      <c r="I25" s="10"/>
      <c r="J25" s="17">
        <f>H25/1000</f>
        <v>33.630000000000003</v>
      </c>
      <c r="K25" s="19">
        <v>-1</v>
      </c>
      <c r="L25" s="17">
        <f t="shared" ref="L25:L43" si="2">H25*K25</f>
        <v>-33630</v>
      </c>
      <c r="M25" s="17">
        <f t="shared" ref="M25:M43" si="3">L25/100000</f>
        <v>-0.33629999999999999</v>
      </c>
    </row>
    <row r="26" spans="1:13" ht="18.75" customHeight="1" x14ac:dyDescent="0.3">
      <c r="A26" s="10">
        <v>22</v>
      </c>
      <c r="B26" s="15">
        <v>46118</v>
      </c>
      <c r="C26" s="10" t="s">
        <v>67</v>
      </c>
      <c r="D26" s="10" t="s">
        <v>64</v>
      </c>
      <c r="E26" s="18">
        <v>151000013</v>
      </c>
      <c r="F26" s="10" t="s">
        <v>76</v>
      </c>
      <c r="G26" s="10" t="s">
        <v>4</v>
      </c>
      <c r="H26" s="16">
        <v>20420</v>
      </c>
      <c r="I26" s="10"/>
      <c r="J26" s="17">
        <f t="shared" ref="J26:J43" si="4">H26/1000</f>
        <v>20.420000000000002</v>
      </c>
      <c r="K26" s="19">
        <v>-7</v>
      </c>
      <c r="L26" s="17">
        <f t="shared" si="2"/>
        <v>-142940</v>
      </c>
      <c r="M26" s="17">
        <f t="shared" si="3"/>
        <v>-1.4294</v>
      </c>
    </row>
    <row r="27" spans="1:13" ht="18.75" customHeight="1" x14ac:dyDescent="0.3">
      <c r="A27" s="10">
        <v>23</v>
      </c>
      <c r="B27" s="15">
        <v>46119</v>
      </c>
      <c r="C27" s="10" t="s">
        <v>68</v>
      </c>
      <c r="D27" s="10" t="s">
        <v>8</v>
      </c>
      <c r="E27" s="18">
        <v>151000015</v>
      </c>
      <c r="F27" s="10" t="s">
        <v>75</v>
      </c>
      <c r="G27" s="10" t="s">
        <v>4</v>
      </c>
      <c r="H27" s="16">
        <v>36460</v>
      </c>
      <c r="I27" s="10"/>
      <c r="J27" s="17">
        <f t="shared" si="4"/>
        <v>36.46</v>
      </c>
      <c r="K27" s="19">
        <v>-1.5</v>
      </c>
      <c r="L27" s="17">
        <f t="shared" si="2"/>
        <v>-54690</v>
      </c>
      <c r="M27" s="17">
        <f t="shared" si="3"/>
        <v>-0.54690000000000005</v>
      </c>
    </row>
    <row r="28" spans="1:13" ht="18.75" customHeight="1" x14ac:dyDescent="0.3">
      <c r="A28" s="10">
        <v>24</v>
      </c>
      <c r="B28" s="15">
        <v>46123</v>
      </c>
      <c r="C28" s="10" t="s">
        <v>69</v>
      </c>
      <c r="D28" s="10" t="s">
        <v>65</v>
      </c>
      <c r="E28" s="18">
        <v>151000013</v>
      </c>
      <c r="F28" s="10" t="s">
        <v>76</v>
      </c>
      <c r="G28" s="10" t="s">
        <v>4</v>
      </c>
      <c r="H28" s="16">
        <v>21030</v>
      </c>
      <c r="I28" s="10"/>
      <c r="J28" s="17">
        <f t="shared" si="4"/>
        <v>21.03</v>
      </c>
      <c r="K28" s="19">
        <v>-9.5</v>
      </c>
      <c r="L28" s="17">
        <f t="shared" si="2"/>
        <v>-199785</v>
      </c>
      <c r="M28" s="17">
        <f t="shared" si="3"/>
        <v>-1.9978499999999999</v>
      </c>
    </row>
    <row r="29" spans="1:13" ht="18.75" customHeight="1" x14ac:dyDescent="0.3">
      <c r="A29" s="10">
        <v>25</v>
      </c>
      <c r="B29" s="15">
        <v>46123</v>
      </c>
      <c r="C29" s="10" t="s">
        <v>70</v>
      </c>
      <c r="D29" s="10" t="s">
        <v>65</v>
      </c>
      <c r="E29" s="18">
        <v>151000013</v>
      </c>
      <c r="F29" s="10" t="s">
        <v>76</v>
      </c>
      <c r="G29" s="10" t="s">
        <v>4</v>
      </c>
      <c r="H29" s="16">
        <v>31010</v>
      </c>
      <c r="I29" s="10"/>
      <c r="J29" s="17">
        <f t="shared" si="4"/>
        <v>31.01</v>
      </c>
      <c r="K29" s="19">
        <v>-9.5</v>
      </c>
      <c r="L29" s="17">
        <f t="shared" si="2"/>
        <v>-294595</v>
      </c>
      <c r="M29" s="17">
        <f t="shared" si="3"/>
        <v>-2.9459499999999998</v>
      </c>
    </row>
    <row r="30" spans="1:13" ht="18.75" customHeight="1" x14ac:dyDescent="0.3">
      <c r="A30" s="10">
        <v>26</v>
      </c>
      <c r="B30" s="15">
        <v>46125</v>
      </c>
      <c r="C30" s="10" t="s">
        <v>71</v>
      </c>
      <c r="D30" s="10" t="s">
        <v>8</v>
      </c>
      <c r="E30" s="18">
        <v>151000015</v>
      </c>
      <c r="F30" s="10" t="s">
        <v>75</v>
      </c>
      <c r="G30" s="10" t="s">
        <v>4</v>
      </c>
      <c r="H30" s="16">
        <v>31490</v>
      </c>
      <c r="I30" s="10"/>
      <c r="J30" s="17">
        <f t="shared" si="4"/>
        <v>31.49</v>
      </c>
      <c r="K30" s="19">
        <v>-1.5</v>
      </c>
      <c r="L30" s="17">
        <f t="shared" si="2"/>
        <v>-47235</v>
      </c>
      <c r="M30" s="17">
        <f t="shared" si="3"/>
        <v>-0.47234999999999999</v>
      </c>
    </row>
    <row r="31" spans="1:13" ht="18.75" customHeight="1" x14ac:dyDescent="0.3">
      <c r="A31" s="10">
        <v>27</v>
      </c>
      <c r="B31" s="15">
        <v>46136</v>
      </c>
      <c r="C31" s="10" t="s">
        <v>72</v>
      </c>
      <c r="D31" s="10" t="s">
        <v>8</v>
      </c>
      <c r="E31" s="18">
        <v>151000015</v>
      </c>
      <c r="F31" s="10" t="s">
        <v>75</v>
      </c>
      <c r="G31" s="10" t="s">
        <v>4</v>
      </c>
      <c r="H31" s="16">
        <v>30570</v>
      </c>
      <c r="I31" s="10"/>
      <c r="J31" s="17">
        <f t="shared" si="4"/>
        <v>30.57</v>
      </c>
      <c r="K31" s="19">
        <v>-1.5</v>
      </c>
      <c r="L31" s="17">
        <f t="shared" si="2"/>
        <v>-45855</v>
      </c>
      <c r="M31" s="17">
        <f t="shared" si="3"/>
        <v>-0.45855000000000001</v>
      </c>
    </row>
    <row r="32" spans="1:13" ht="18.75" customHeight="1" x14ac:dyDescent="0.3">
      <c r="A32" s="10">
        <v>28</v>
      </c>
      <c r="B32" s="15">
        <v>46142</v>
      </c>
      <c r="C32" s="10" t="s">
        <v>73</v>
      </c>
      <c r="D32" s="10" t="s">
        <v>8</v>
      </c>
      <c r="E32" s="18">
        <v>151000015</v>
      </c>
      <c r="F32" s="10" t="s">
        <v>75</v>
      </c>
      <c r="G32" s="10" t="s">
        <v>4</v>
      </c>
      <c r="H32" s="16">
        <v>30150</v>
      </c>
      <c r="I32" s="10"/>
      <c r="J32" s="17">
        <f t="shared" si="4"/>
        <v>30.15</v>
      </c>
      <c r="K32" s="19">
        <v>-1.5</v>
      </c>
      <c r="L32" s="17">
        <f t="shared" si="2"/>
        <v>-45225</v>
      </c>
      <c r="M32" s="17">
        <f t="shared" si="3"/>
        <v>-0.45224999999999999</v>
      </c>
    </row>
    <row r="33" spans="1:13" ht="18.75" customHeight="1" x14ac:dyDescent="0.25">
      <c r="A33" s="10">
        <v>29</v>
      </c>
      <c r="B33" s="15">
        <v>46143</v>
      </c>
      <c r="C33" s="20" t="s">
        <v>77</v>
      </c>
      <c r="D33" s="21" t="s">
        <v>10</v>
      </c>
      <c r="E33" s="21"/>
      <c r="F33" s="21" t="s">
        <v>11</v>
      </c>
      <c r="G33" s="10" t="s">
        <v>4</v>
      </c>
      <c r="H33" s="22">
        <v>20200</v>
      </c>
      <c r="I33" s="20" t="s">
        <v>82</v>
      </c>
      <c r="J33" s="17">
        <f t="shared" si="4"/>
        <v>20.2</v>
      </c>
      <c r="K33" s="17">
        <v>-2.5</v>
      </c>
      <c r="L33" s="17">
        <f t="shared" si="2"/>
        <v>-50500</v>
      </c>
      <c r="M33" s="17">
        <f t="shared" si="3"/>
        <v>-0.505</v>
      </c>
    </row>
    <row r="34" spans="1:13" ht="18.75" customHeight="1" x14ac:dyDescent="0.25">
      <c r="A34" s="10">
        <v>30</v>
      </c>
      <c r="B34" s="15">
        <v>46151</v>
      </c>
      <c r="C34" s="20" t="s">
        <v>78</v>
      </c>
      <c r="D34" s="21" t="s">
        <v>18</v>
      </c>
      <c r="E34" s="21"/>
      <c r="F34" s="21" t="s">
        <v>11</v>
      </c>
      <c r="G34" s="10" t="s">
        <v>4</v>
      </c>
      <c r="H34" s="22">
        <v>15760</v>
      </c>
      <c r="I34" s="20" t="s">
        <v>45</v>
      </c>
      <c r="J34" s="17">
        <f t="shared" si="4"/>
        <v>15.76</v>
      </c>
      <c r="K34" s="17">
        <v>-3.5</v>
      </c>
      <c r="L34" s="17">
        <f t="shared" si="2"/>
        <v>-55160</v>
      </c>
      <c r="M34" s="17">
        <f t="shared" si="3"/>
        <v>-0.55159999999999998</v>
      </c>
    </row>
    <row r="35" spans="1:13" ht="18.75" customHeight="1" x14ac:dyDescent="0.25">
      <c r="A35" s="10">
        <v>31</v>
      </c>
      <c r="B35" s="15">
        <v>46154</v>
      </c>
      <c r="C35" s="20" t="s">
        <v>79</v>
      </c>
      <c r="D35" s="21" t="s">
        <v>14</v>
      </c>
      <c r="E35" s="21"/>
      <c r="F35" s="21" t="s">
        <v>39</v>
      </c>
      <c r="G35" s="10" t="s">
        <v>4</v>
      </c>
      <c r="H35" s="22">
        <v>20760</v>
      </c>
      <c r="I35" s="20" t="s">
        <v>83</v>
      </c>
      <c r="J35" s="17">
        <f t="shared" si="4"/>
        <v>20.76</v>
      </c>
      <c r="K35" s="17"/>
      <c r="L35" s="17">
        <f t="shared" si="2"/>
        <v>0</v>
      </c>
      <c r="M35" s="17">
        <f t="shared" si="3"/>
        <v>0</v>
      </c>
    </row>
    <row r="36" spans="1:13" ht="18.75" customHeight="1" x14ac:dyDescent="0.25">
      <c r="A36" s="10">
        <v>32</v>
      </c>
      <c r="B36" s="15">
        <v>46156</v>
      </c>
      <c r="C36" s="20" t="s">
        <v>80</v>
      </c>
      <c r="D36" s="21" t="s">
        <v>10</v>
      </c>
      <c r="E36" s="21"/>
      <c r="F36" s="21" t="s">
        <v>11</v>
      </c>
      <c r="G36" s="10" t="s">
        <v>4</v>
      </c>
      <c r="H36" s="22">
        <v>19570</v>
      </c>
      <c r="I36" s="20" t="s">
        <v>82</v>
      </c>
      <c r="J36" s="17">
        <f t="shared" si="4"/>
        <v>19.57</v>
      </c>
      <c r="K36" s="17">
        <v>-2.5</v>
      </c>
      <c r="L36" s="17">
        <f t="shared" si="2"/>
        <v>-48925</v>
      </c>
      <c r="M36" s="17">
        <f t="shared" si="3"/>
        <v>-0.48925000000000002</v>
      </c>
    </row>
    <row r="37" spans="1:13" ht="18.75" customHeight="1" x14ac:dyDescent="0.25">
      <c r="A37" s="10">
        <v>33</v>
      </c>
      <c r="B37" s="15">
        <v>46157</v>
      </c>
      <c r="C37" s="20" t="s">
        <v>81</v>
      </c>
      <c r="D37" s="21" t="s">
        <v>14</v>
      </c>
      <c r="E37" s="21"/>
      <c r="F37" s="21" t="s">
        <v>15</v>
      </c>
      <c r="G37" s="10" t="s">
        <v>4</v>
      </c>
      <c r="H37" s="22">
        <v>8050</v>
      </c>
      <c r="I37" s="20" t="s">
        <v>84</v>
      </c>
      <c r="J37" s="17">
        <f t="shared" si="4"/>
        <v>8.0500000000000007</v>
      </c>
      <c r="K37" s="17">
        <v>-8</v>
      </c>
      <c r="L37" s="17">
        <f t="shared" si="2"/>
        <v>-64400</v>
      </c>
      <c r="M37" s="17">
        <f t="shared" si="3"/>
        <v>-0.64400000000000002</v>
      </c>
    </row>
    <row r="38" spans="1:13" ht="18.75" customHeight="1" x14ac:dyDescent="0.25">
      <c r="A38" s="10">
        <v>34</v>
      </c>
      <c r="B38" s="15">
        <v>46158</v>
      </c>
      <c r="C38" s="10" t="s">
        <v>85</v>
      </c>
      <c r="D38" s="10" t="s">
        <v>2</v>
      </c>
      <c r="E38" s="10" t="s">
        <v>0</v>
      </c>
      <c r="F38" s="10" t="s">
        <v>3</v>
      </c>
      <c r="G38" s="10" t="s">
        <v>4</v>
      </c>
      <c r="H38" s="23">
        <v>25750</v>
      </c>
      <c r="I38" s="10" t="s">
        <v>86</v>
      </c>
      <c r="J38" s="17">
        <f t="shared" si="4"/>
        <v>25.75</v>
      </c>
      <c r="K38" s="10">
        <v>-2.1</v>
      </c>
      <c r="L38" s="10">
        <f t="shared" si="2"/>
        <v>-54075</v>
      </c>
      <c r="M38" s="10">
        <f t="shared" si="3"/>
        <v>-0.54074999999999995</v>
      </c>
    </row>
    <row r="39" spans="1:13" ht="18.75" customHeight="1" x14ac:dyDescent="0.25">
      <c r="A39" s="10">
        <v>35</v>
      </c>
      <c r="B39" s="15">
        <v>46158</v>
      </c>
      <c r="C39" s="10" t="s">
        <v>87</v>
      </c>
      <c r="D39" s="10" t="s">
        <v>2</v>
      </c>
      <c r="E39" s="10" t="s">
        <v>0</v>
      </c>
      <c r="F39" s="10" t="s">
        <v>3</v>
      </c>
      <c r="G39" s="10" t="s">
        <v>4</v>
      </c>
      <c r="H39" s="23">
        <v>21100</v>
      </c>
      <c r="I39" s="10" t="s">
        <v>88</v>
      </c>
      <c r="J39" s="17">
        <f t="shared" si="4"/>
        <v>21.1</v>
      </c>
      <c r="K39" s="10">
        <v>-2.1</v>
      </c>
      <c r="L39" s="10">
        <f t="shared" si="2"/>
        <v>-44310</v>
      </c>
      <c r="M39" s="10">
        <f t="shared" si="3"/>
        <v>-0.44309999999999999</v>
      </c>
    </row>
    <row r="40" spans="1:13" ht="18.75" customHeight="1" x14ac:dyDescent="0.25">
      <c r="A40" s="10">
        <v>36</v>
      </c>
      <c r="B40" s="15">
        <v>46161</v>
      </c>
      <c r="C40" s="10" t="s">
        <v>89</v>
      </c>
      <c r="D40" s="10" t="s">
        <v>14</v>
      </c>
      <c r="E40" s="10" t="s">
        <v>0</v>
      </c>
      <c r="F40" s="10" t="s">
        <v>47</v>
      </c>
      <c r="G40" s="10" t="s">
        <v>4</v>
      </c>
      <c r="H40" s="23">
        <v>20470</v>
      </c>
      <c r="I40" s="10" t="s">
        <v>90</v>
      </c>
      <c r="J40" s="17">
        <f t="shared" si="4"/>
        <v>20.47</v>
      </c>
      <c r="K40" s="10"/>
      <c r="L40" s="10">
        <f t="shared" si="2"/>
        <v>0</v>
      </c>
      <c r="M40" s="10">
        <f t="shared" si="3"/>
        <v>0</v>
      </c>
    </row>
    <row r="41" spans="1:13" ht="18.75" customHeight="1" x14ac:dyDescent="0.25">
      <c r="A41" s="10">
        <v>37</v>
      </c>
      <c r="B41" s="15">
        <v>46162</v>
      </c>
      <c r="C41" s="10" t="s">
        <v>91</v>
      </c>
      <c r="D41" s="10" t="s">
        <v>18</v>
      </c>
      <c r="E41" s="10" t="s">
        <v>0</v>
      </c>
      <c r="F41" s="10" t="s">
        <v>11</v>
      </c>
      <c r="G41" s="10" t="s">
        <v>4</v>
      </c>
      <c r="H41" s="23">
        <v>16780</v>
      </c>
      <c r="I41" s="10" t="s">
        <v>45</v>
      </c>
      <c r="J41" s="17">
        <f t="shared" si="4"/>
        <v>16.78</v>
      </c>
      <c r="K41" s="10">
        <v>-3.5</v>
      </c>
      <c r="L41" s="10">
        <f t="shared" si="2"/>
        <v>-58730</v>
      </c>
      <c r="M41" s="10">
        <f t="shared" si="3"/>
        <v>-0.58730000000000004</v>
      </c>
    </row>
    <row r="42" spans="1:13" ht="18.75" customHeight="1" x14ac:dyDescent="0.25">
      <c r="A42" s="10">
        <v>38</v>
      </c>
      <c r="B42" s="15">
        <v>46165</v>
      </c>
      <c r="C42" s="10" t="s">
        <v>92</v>
      </c>
      <c r="D42" s="10" t="s">
        <v>38</v>
      </c>
      <c r="E42" s="10"/>
      <c r="F42" s="10" t="s">
        <v>15</v>
      </c>
      <c r="G42" s="10" t="s">
        <v>4</v>
      </c>
      <c r="H42" s="23">
        <v>9480</v>
      </c>
      <c r="I42" s="10" t="s">
        <v>93</v>
      </c>
      <c r="J42" s="17">
        <f t="shared" si="4"/>
        <v>9.48</v>
      </c>
      <c r="K42" s="10"/>
      <c r="L42" s="10">
        <f t="shared" si="2"/>
        <v>0</v>
      </c>
      <c r="M42" s="10">
        <f t="shared" si="3"/>
        <v>0</v>
      </c>
    </row>
    <row r="43" spans="1:13" ht="18.75" customHeight="1" x14ac:dyDescent="0.25">
      <c r="A43" s="10">
        <v>39</v>
      </c>
      <c r="B43" s="15">
        <v>46166</v>
      </c>
      <c r="C43" s="10" t="s">
        <v>94</v>
      </c>
      <c r="D43" s="10" t="s">
        <v>38</v>
      </c>
      <c r="E43" s="10"/>
      <c r="F43" s="10" t="s">
        <v>95</v>
      </c>
      <c r="G43" s="10" t="s">
        <v>4</v>
      </c>
      <c r="H43" s="23">
        <v>21220</v>
      </c>
      <c r="I43" s="10" t="s">
        <v>96</v>
      </c>
      <c r="J43" s="17">
        <f t="shared" si="4"/>
        <v>21.22</v>
      </c>
      <c r="K43" s="10"/>
      <c r="L43" s="10">
        <f t="shared" si="2"/>
        <v>0</v>
      </c>
      <c r="M43" s="10">
        <f t="shared" si="3"/>
        <v>0</v>
      </c>
    </row>
  </sheetData>
  <autoFilter ref="A4:M41" xr:uid="{27D74F63-F995-44BF-8DBA-CA8274639127}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Pivot</vt:lpstr>
      <vt:lpstr>DISPOSAL MATERIAL DATA (2)</vt:lpstr>
      <vt:lpstr>DISPOSAL MATERIAL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Ghanshyam Sinh Chauhan</cp:lastModifiedBy>
  <cp:revision>1</cp:revision>
  <dcterms:created xsi:type="dcterms:W3CDTF">2026-06-01T09:53:53Z</dcterms:created>
  <dcterms:modified xsi:type="dcterms:W3CDTF">2026-07-01T06:10:12Z</dcterms:modified>
  <cp:category/>
</cp:coreProperties>
</file>